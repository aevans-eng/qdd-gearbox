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on\Documents\c-projects\qdd-gearbox\testing\"/>
    </mc:Choice>
  </mc:AlternateContent>
  <xr:revisionPtr revIDLastSave="0" documentId="13_ncr:1_{A53EC915-8C8D-4754-B066-21B464555334}" xr6:coauthVersionLast="47" xr6:coauthVersionMax="47" xr10:uidLastSave="{00000000-0000-0000-0000-000000000000}"/>
  <bookViews>
    <workbookView xWindow="-110" yWindow="-110" windowWidth="24220" windowHeight="15500" tabRatio="778" xr2:uid="{00000000-000D-0000-FFFF-FFFF00000000}"/>
  </bookViews>
  <sheets>
    <sheet name="Dashboard" sheetId="7" r:id="rId1"/>
    <sheet name="Requirements" sheetId="1" r:id="rId2"/>
    <sheet name="Traceability Matrix" sheetId="2" r:id="rId3"/>
    <sheet name="Test Log" sheetId="3" r:id="rId4"/>
    <sheet name="Unknowns Register" sheetId="4" r:id="rId5"/>
    <sheet name="Health Log" sheetId="5" r:id="rId6"/>
    <sheet name="Change Log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7" l="1"/>
  <c r="B25" i="7"/>
  <c r="C24" i="7"/>
  <c r="B24" i="7"/>
  <c r="C23" i="7"/>
  <c r="B23" i="7"/>
  <c r="C22" i="7"/>
  <c r="B22" i="7"/>
  <c r="C21" i="7"/>
  <c r="B21" i="7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N2" i="3" a="1"/>
  <c r="N2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B38" i="7"/>
  <c r="B40" i="7" s="1"/>
  <c r="B37" i="7"/>
  <c r="B18" i="7"/>
  <c r="B17" i="7"/>
  <c r="B16" i="7"/>
  <c r="B15" i="7"/>
  <c r="B14" i="7"/>
  <c r="B13" i="7"/>
  <c r="B4" i="7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V16" i="2"/>
  <c r="V15" i="2"/>
  <c r="V14" i="2"/>
  <c r="V13" i="2"/>
  <c r="V12" i="2"/>
  <c r="V11" i="2"/>
  <c r="V10" i="2"/>
  <c r="V9" i="2"/>
  <c r="V8" i="2"/>
  <c r="V7" i="2"/>
  <c r="V6" i="2"/>
  <c r="V5" i="2"/>
  <c r="V4" i="2"/>
  <c r="B33" i="7" s="1"/>
  <c r="B39" i="7" l="1"/>
  <c r="B34" i="7" a="1"/>
  <c r="B34" i="7" s="1"/>
  <c r="B9" i="7"/>
  <c r="B30" i="7"/>
  <c r="B31" i="7"/>
  <c r="B32" i="7"/>
  <c r="B19" i="7"/>
  <c r="B5" i="7"/>
  <c r="B10" i="7" s="1"/>
  <c r="B7" i="7"/>
  <c r="B8" i="7"/>
  <c r="B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<sst xmlns="http://schemas.openxmlformats.org/spreadsheetml/2006/main" count="623" uniqueCount="373">
  <si>
    <t>Req ID</t>
  </si>
  <si>
    <t>Requirement</t>
  </si>
  <si>
    <t>Description</t>
  </si>
  <si>
    <t>Target Value</t>
  </si>
  <si>
    <t>Type</t>
  </si>
  <si>
    <t>Priority Rank</t>
  </si>
  <si>
    <t>Verification Method</t>
  </si>
  <si>
    <t>Status</t>
  </si>
  <si>
    <t>Verified By</t>
  </si>
  <si>
    <t>Notes</t>
  </si>
  <si>
    <t>R-01</t>
  </si>
  <si>
    <t>Backlash</t>
  </si>
  <si>
    <t>Angular backlash at output shaft</t>
  </si>
  <si>
    <t>≤ 0.5°</t>
  </si>
  <si>
    <t>Hard</t>
  </si>
  <si>
    <t>Test</t>
  </si>
  <si>
    <t>Not Verified</t>
  </si>
  <si>
    <t>T-012</t>
  </si>
  <si>
    <t>Primary QDD metric. Measured with dial indicator.</t>
  </si>
  <si>
    <t>R-02</t>
  </si>
  <si>
    <t>Cost</t>
  </si>
  <si>
    <t>Total BOM cost under budget</t>
  </si>
  <si>
    <t>&lt; $120 CAD</t>
  </si>
  <si>
    <t>Inspection</t>
  </si>
  <si>
    <t>BOM inspection</t>
  </si>
  <si>
    <t>Sum of purchased + printed parts cost</t>
  </si>
  <si>
    <t>R-03</t>
  </si>
  <si>
    <t>DFM/DFA</t>
  </si>
  <si>
    <t>All off-the-shelf + 3D printed parts; assemblable without complex tools</t>
  </si>
  <si>
    <t>Off-the-shelf + FDM, no special tools</t>
  </si>
  <si>
    <t>Design review</t>
  </si>
  <si>
    <t>Assembly with basic hex keys only</t>
  </si>
  <si>
    <t>R-04</t>
  </si>
  <si>
    <t>Backdrivability</t>
  </si>
  <si>
    <t>Friction torque with motor disconnected</t>
  </si>
  <si>
    <t>&lt; 1 Nm friction torque</t>
  </si>
  <si>
    <t>T-013, T-008, T-006</t>
  </si>
  <si>
    <t>Changed from vague 'backdriveable under human impulse' to measurable spec (Mar 11). Industry standard for QDD.</t>
  </si>
  <si>
    <t>R-05</t>
  </si>
  <si>
    <t>Durability</t>
  </si>
  <si>
    <t>Should not break itself in under 1 minute</t>
  </si>
  <si>
    <t>No self-destruction in &lt; 1 min</t>
  </si>
  <si>
    <t>Phase 5 only. Combination of software + hardware limits.</t>
  </si>
  <si>
    <t>R-06</t>
  </si>
  <si>
    <t>Peak Torque</t>
  </si>
  <si>
    <t>Peak torque output at gearbox output shaft</t>
  </si>
  <si>
    <t>≥ 16 Nm</t>
  </si>
  <si>
    <t>Phase 5 only. Needs load cell or heavy weights.</t>
  </si>
  <si>
    <t>R-07</t>
  </si>
  <si>
    <t>Continuous Torque</t>
  </si>
  <si>
    <t>Sustained torque output capacity</t>
  </si>
  <si>
    <t>≥ 12 Nm</t>
  </si>
  <si>
    <t>Phase 5 only. Needs thermal steady-state test.</t>
  </si>
  <si>
    <t>R-08</t>
  </si>
  <si>
    <t>Thermal Performance</t>
  </si>
  <si>
    <t>Housing should not overheat under sustained use</t>
  </si>
  <si>
    <t>No melting in &lt; 5 min</t>
  </si>
  <si>
    <t>Phase 5 only. PLA Tg ~60°C. Health monitoring tracks informally.</t>
  </si>
  <si>
    <t>R-09</t>
  </si>
  <si>
    <t>Efficiency</t>
  </si>
  <si>
    <t>Power transmission efficiency through gearbox</t>
  </si>
  <si>
    <t>&gt; 90%</t>
  </si>
  <si>
    <t>Soft</t>
  </si>
  <si>
    <t>T-006 (related)</t>
  </si>
  <si>
    <t>Phase 5 only. T-006 measures friction but not output power directly.</t>
  </si>
  <si>
    <t>R-10</t>
  </si>
  <si>
    <t>Weight</t>
  </si>
  <si>
    <t>Total assembly mass</t>
  </si>
  <si>
    <t>&lt; 2 kg</t>
  </si>
  <si>
    <t>Trivial — kitchen scale measurement. Add as 1-min check in Phase 1.</t>
  </si>
  <si>
    <t>R-11</t>
  </si>
  <si>
    <t>Speed</t>
  </si>
  <si>
    <t>Maximum continuous output RPM</t>
  </si>
  <si>
    <t>≥ 600 RPM continuous</t>
  </si>
  <si>
    <t>T-016 (related)</t>
  </si>
  <si>
    <t>T-016 measures bandwidth, not sustained max RPM. No direct 600 RPM test yet.</t>
  </si>
  <si>
    <t>R-12</t>
  </si>
  <si>
    <t>Integratable</t>
  </si>
  <si>
    <t>Support either shaft or bolted plate outputs</t>
  </si>
  <si>
    <t>Shafts or bolted plates</t>
  </si>
  <si>
    <t>Demonstration</t>
  </si>
  <si>
    <t>Design review / demo of integration options.</t>
  </si>
  <si>
    <t>R-13</t>
  </si>
  <si>
    <t>Torque Density (volume)</t>
  </si>
  <si>
    <t>High torque output relative to actuator volume</t>
  </si>
  <si>
    <t>No specific target set</t>
  </si>
  <si>
    <t>Analysis</t>
  </si>
  <si>
    <t>Compare to commercial QDDs (e.g., CubeMars AK70-10).</t>
  </si>
  <si>
    <t>Ph0</t>
  </si>
  <si>
    <t>Ph1</t>
  </si>
  <si>
    <t>Ph2</t>
  </si>
  <si>
    <t>Ph3</t>
  </si>
  <si>
    <t>Ph4</t>
  </si>
  <si>
    <t>00A</t>
  </si>
  <si>
    <t>T-009
Motor Kt</t>
  </si>
  <si>
    <t>T-010
Motor Cogging</t>
  </si>
  <si>
    <t>T-011
Motor Friction</t>
  </si>
  <si>
    <t>T-014
Motor Step Resp</t>
  </si>
  <si>
    <t>T-012
Backlash</t>
  </si>
  <si>
    <t>T-013
Hand Backdrive</t>
  </si>
  <si>
    <t>T-006
Friction Model</t>
  </si>
  <si>
    <t>T-007
Step Response</t>
  </si>
  <si>
    <t>T-008
Backdrive Torque</t>
  </si>
  <si>
    <t>T-015
Plant ID</t>
  </si>
  <si>
    <t>T-016
Bode Plot</t>
  </si>
  <si>
    <t>T-017
Virtual Spring</t>
  </si>
  <si>
    <t>T-018
Spring-Damper</t>
  </si>
  <si>
    <t>T-019
Variable Imped</t>
  </si>
  <si>
    <t>T-001
Root Cause Mesh</t>
  </si>
  <si>
    <t>T-002
Lid Drag</t>
  </si>
  <si>
    <t>T-003
Shoulder Deform</t>
  </si>
  <si>
    <t>T-004
Carrier Index</t>
  </si>
  <si>
    <t>T-005
Bolt vs Drag</t>
  </si>
  <si>
    <t>Coverage</t>
  </si>
  <si>
    <t>P</t>
  </si>
  <si>
    <t>S</t>
  </si>
  <si>
    <t>Partial</t>
  </si>
  <si>
    <t>Traces To →</t>
  </si>
  <si>
    <t>Char.</t>
  </si>
  <si>
    <t>R-04, R-09</t>
  </si>
  <si>
    <t>R-01, R-04</t>
  </si>
  <si>
    <t>R-05, R-06</t>
  </si>
  <si>
    <t>R-04, R-05, R-06</t>
  </si>
  <si>
    <t>Test ID</t>
  </si>
  <si>
    <t>Test Name</t>
  </si>
  <si>
    <t>Phase</t>
  </si>
  <si>
    <t>Traces To</t>
  </si>
  <si>
    <t>Procedure Reference</t>
  </si>
  <si>
    <t>Prerequisites</t>
  </si>
  <si>
    <t>Date Executed</t>
  </si>
  <si>
    <t>Result</t>
  </si>
  <si>
    <t>Acceptance Criteria</t>
  </si>
  <si>
    <t>Pass/Fail</t>
  </si>
  <si>
    <t>Notes / Actions</t>
  </si>
  <si>
    <t>T-001</t>
  </si>
  <si>
    <t>Root cause analysis — tight gear meshing</t>
  </si>
  <si>
    <t>Rev 00A</t>
  </si>
  <si>
    <t>test-tracker.md T-001</t>
  </si>
  <si>
    <t>Part dimensions</t>
  </si>
  <si>
    <t>Complete</t>
  </si>
  <si>
    <t>2026-03-13</t>
  </si>
  <si>
    <t>Herringbone alignment error identified</t>
  </si>
  <si>
    <t>Dimensions within printer tolerance</t>
  </si>
  <si>
    <t>Root cause: herringbone misalignment. Action: spur gears for Rev 00B. Dimensional measurements still pending.</t>
  </si>
  <si>
    <t>T-002</t>
  </si>
  <si>
    <t>Lid drag — over-constraint on carrier</t>
  </si>
  <si>
    <t>test-tracker.md T-002</t>
  </si>
  <si>
    <t>None</t>
  </si>
  <si>
    <t>Root cause identified — tolerance stackup</t>
  </si>
  <si>
    <t>Lid does not add parasitic drag</t>
  </si>
  <si>
    <t>Fail</t>
  </si>
  <si>
    <t>Lid double-duty causes stackup. Design change: decouple ring gear clamping from carrier constraint.</t>
  </si>
  <si>
    <t>T-003</t>
  </si>
  <si>
    <t>Carrier bearing shoulder deformation</t>
  </si>
  <si>
    <t>test-tracker.md T-003</t>
  </si>
  <si>
    <t>Print quality issue on top carrier shoulders</t>
  </si>
  <si>
    <t>Shoulder change &lt; 0.1 mm, no cracking</t>
  </si>
  <si>
    <t>Inconclusive</t>
  </si>
  <si>
    <t>Bottom shoulders good. Top shoulders have print artifacts (orientation trade-off). No dimensional measurement yet.</t>
  </si>
  <si>
    <t>T-004</t>
  </si>
  <si>
    <t>Carrier half indexing — clocking under load</t>
  </si>
  <si>
    <t>test-tracker.md T-004</t>
  </si>
  <si>
    <t>~0.5 mm play exists but no operational driving force</t>
  </si>
  <si>
    <t>No visible relative motion under hand torsion</t>
  </si>
  <si>
    <t>Pass</t>
  </si>
  <si>
    <t>Load path analysis: both halves driven by same pins. Clocking not a realistic failure mode.</t>
  </si>
  <si>
    <t>T-005</t>
  </si>
  <si>
    <t>Carrier bolt torque vs planet resistance</t>
  </si>
  <si>
    <t>R-04, R-05</t>
  </si>
  <si>
    <t>test-tracker.md T-005</t>
  </si>
  <si>
    <t>Narrow window between carrier play and planet binding</t>
  </si>
  <si>
    <t>Planets spin freely across bolt torque range</t>
  </si>
  <si>
    <t>Shoulders sensitive to clamping force. 1.1 Nm → drag. Backed off → free. Rev 00B shoulder redesign needed.</t>
  </si>
  <si>
    <t>T-006</t>
  </si>
  <si>
    <t>Friction characterization — Coulomb + viscous</t>
  </si>
  <si>
    <t>Phase 2</t>
  </si>
  <si>
    <t>test-campaign-rev00b.md Phase 2</t>
  </si>
  <si>
    <t>Motor + encoder + ODrive, gearbox assembled</t>
  </si>
  <si>
    <t>Not Started</t>
  </si>
  <si>
    <t>Reflected friction torque &lt; 1 Nm; linear friction model</t>
  </si>
  <si>
    <t>Motor torque current at constant velocities. Subtract T-011 baseline for gearbox-only friction.</t>
  </si>
  <si>
    <t>T-007</t>
  </si>
  <si>
    <t>Step response — system dynamics</t>
  </si>
  <si>
    <t>—</t>
  </si>
  <si>
    <t>System settles, overshoot &lt; 10%, SSE &lt; 0.5°</t>
  </si>
  <si>
    <t>Characterization test. Compare to T-014 motor-only baseline.</t>
  </si>
  <si>
    <t>T-008</t>
  </si>
  <si>
    <t>Backdriving torque — passive resistance</t>
  </si>
  <si>
    <t>Backdriving torque &lt; 1 Nm at output</t>
  </si>
  <si>
    <t>Quantitative version of T-013. Motor in idle, turn output by hand.</t>
  </si>
  <si>
    <t>T-009</t>
  </si>
  <si>
    <t>Motor Kt verification (baseline)</t>
  </si>
  <si>
    <t>Phase 0</t>
  </si>
  <si>
    <t>test-campaign-rev00b.md Phase 0</t>
  </si>
  <si>
    <t>ODrive + motor + encoder configured</t>
  </si>
  <si>
    <t>No-load Iq &lt; 1A at 2 rev/s</t>
  </si>
  <si>
    <t>Baseline sanity check. Every downstream torque calc depends on Kt.</t>
  </si>
  <si>
    <t>T-010</t>
  </si>
  <si>
    <t>Motor cogging &amp; friction profile</t>
  </si>
  <si>
    <t>T-009 pass</t>
  </si>
  <si>
    <t>Periodic cogging, roughly symmetric CW/CCW</t>
  </si>
  <si>
    <t>Motor-only baseline. Needed to isolate gearbox effects in T-006.</t>
  </si>
  <si>
    <t>T-011</t>
  </si>
  <si>
    <t>Motor friction vs speed — no load</t>
  </si>
  <si>
    <t>Roughly linear friction vs speed</t>
  </si>
  <si>
    <t>Motor-only Coulomb + viscous model. Baseline for T-006 subtraction.</t>
  </si>
  <si>
    <t>Output shaft backlash measurement</t>
  </si>
  <si>
    <t>Phase 1</t>
  </si>
  <si>
    <t>test-campaign-rev00b.md Phase 1</t>
  </si>
  <si>
    <t>Gearbox assembled, motor shaft locked</t>
  </si>
  <si>
    <t>Backlash ≤ 0.5° (R-01 hard req)</t>
  </si>
  <si>
    <t>Dial indicator + lever arm at 4+ positions around one revolution.</t>
  </si>
  <si>
    <t>T-013</t>
  </si>
  <si>
    <t>Hand backdriving — qualitative + rough torque</t>
  </si>
  <si>
    <t>Gearbox assembled</t>
  </si>
  <si>
    <t>Backdriving torque &lt; 1 Nm (R-04)</t>
  </si>
  <si>
    <t>Kitchen scale + 200 mm lever arm. Quick check before powered T-008.</t>
  </si>
  <si>
    <t>T-014</t>
  </si>
  <si>
    <t>Motor step response (baseline)</t>
  </si>
  <si>
    <t>Clean second-order response, consistent across 3–5 reps</t>
  </si>
  <si>
    <t>Motor-only baseline for T-007 comparison. Extract tr, OS%, ts, SSE.</t>
  </si>
  <si>
    <t>T-015</t>
  </si>
  <si>
    <t>Plant identification from step response data</t>
  </si>
  <si>
    <t>Phase 3</t>
  </si>
  <si>
    <t>test-campaign-rev00b.md Phase 3</t>
  </si>
  <si>
    <t>T-014, T-007 complete</t>
  </si>
  <si>
    <t>Model matches measured step response within 10%</t>
  </si>
  <si>
    <t>Fit G(s) = 1/(Js² + bs). Use torque mode for open-loop plant ID.</t>
  </si>
  <si>
    <t>T-016</t>
  </si>
  <si>
    <t>Frequency response — Bode plot</t>
  </si>
  <si>
    <t>T-015 (for validation)</t>
  </si>
  <si>
    <t>Measured Bode matches predicted from T-015</t>
  </si>
  <si>
    <t>Chirp or discrete sine dwell. Motor alone AND motor+gearbox overlay.</t>
  </si>
  <si>
    <t>T-017</t>
  </si>
  <si>
    <t>Impedance control — virtual spring</t>
  </si>
  <si>
    <t>Phase 4</t>
  </si>
  <si>
    <t>test-campaign-rev00b.md Phase 4</t>
  </si>
  <si>
    <t>T-015 (plant model for tuning)</t>
  </si>
  <si>
    <t>Linear force-displacement, smooth feel, returns to setpoint</t>
  </si>
  <si>
    <t>Tier A: use ODrive internal PID as spring-damper. Start here.</t>
  </si>
  <si>
    <t>T-018</t>
  </si>
  <si>
    <t>Impedance control — spring-damper</t>
  </si>
  <si>
    <t>Damped return to setpoint, higher K achievable with B</t>
  </si>
  <si>
    <t>Tier B: Python torque loop (~200 Hz). True impedance control.</t>
  </si>
  <si>
    <t>T-019</t>
  </si>
  <si>
    <t>Variable impedance demo (stretch goal)</t>
  </si>
  <si>
    <t>Smooth real-time parameter adjustment, no instability</t>
  </si>
  <si>
    <t>Tkinter GUI with K/B sliders. Portfolio hero content.</t>
  </si>
  <si>
    <t>Unknown ID</t>
  </si>
  <si>
    <t>Category</t>
  </si>
  <si>
    <t>Priority</t>
  </si>
  <si>
    <t>Linked Tests</t>
  </si>
  <si>
    <t>Resolution</t>
  </si>
  <si>
    <t>Date Resolved</t>
  </si>
  <si>
    <t>U-01</t>
  </si>
  <si>
    <t>Planet positioning &amp; mesh clearance — geometry vs. assembly?</t>
  </si>
  <si>
    <t>Assembly/fit</t>
  </si>
  <si>
    <t>Test first</t>
  </si>
  <si>
    <t>Postponed → Rev 00B</t>
  </si>
  <si>
    <t>Herringbone misalignment identified as root cause. Switched to spur gears.</t>
  </si>
  <si>
    <t>U-02</t>
  </si>
  <si>
    <t>(Merged into U-01)</t>
  </si>
  <si>
    <t>Merged</t>
  </si>
  <si>
    <t>U-03</t>
  </si>
  <si>
    <t>Lid causing drag — over-constraint on carrier?</t>
  </si>
  <si>
    <t>Root cause identified</t>
  </si>
  <si>
    <t>Tolerance stackup across carrier assembly causes lid to press on carrier top. Redesign for Rev 00B.</t>
  </si>
  <si>
    <t>U-04</t>
  </si>
  <si>
    <t>Carrier bearing shoulder deformation under bolt torque</t>
  </si>
  <si>
    <t>Structural</t>
  </si>
  <si>
    <t>Confirmed</t>
  </si>
  <si>
    <t>T-003, T-005</t>
  </si>
  <si>
    <t>Shoulders sensitive to torque. Print quality issue on top carrier. Rev 00B redesign.</t>
  </si>
  <si>
    <t>U-05</t>
  </si>
  <si>
    <t>Carrier halves need indexing?</t>
  </si>
  <si>
    <t>Monitor/skip</t>
  </si>
  <si>
    <t>Resolved</t>
  </si>
  <si>
    <t>No operational clocking load — both halves driven by same pins.</t>
  </si>
  <si>
    <t>U-06</t>
  </si>
  <si>
    <t>Gearbox structural capacity (handles motor torque × 5:1?)</t>
  </si>
  <si>
    <t>After fundamentals</t>
  </si>
  <si>
    <t>U-07</t>
  </si>
  <si>
    <t>Output shaft strength — self-tap holding, diameter adequate</t>
  </si>
  <si>
    <t>Verify early</t>
  </si>
  <si>
    <t>Known Issue</t>
  </si>
  <si>
    <t>Known undersized → enlarged in Rev 00B design.</t>
  </si>
  <si>
    <t>U-08</t>
  </si>
  <si>
    <t>Backlash — quantified</t>
  </si>
  <si>
    <t>Performance</t>
  </si>
  <si>
    <t>U-09</t>
  </si>
  <si>
    <t>Backdrivability — quantified</t>
  </si>
  <si>
    <t>T-013, T-006, T-008</t>
  </si>
  <si>
    <t>U-10</t>
  </si>
  <si>
    <t>Durability under sustained use</t>
  </si>
  <si>
    <t>Degradation</t>
  </si>
  <si>
    <t>Date</t>
  </si>
  <si>
    <t>Session #</t>
  </si>
  <si>
    <t>Backlash (°)</t>
  </si>
  <si>
    <t>Friction Torque (Nm)</t>
  </si>
  <si>
    <t>Ambient Temp (°C)</t>
  </si>
  <si>
    <t>Visual Condition</t>
  </si>
  <si>
    <t>Cumulative Runtime (min)</t>
  </si>
  <si>
    <t>Initial baseline — record before first powered test</t>
  </si>
  <si>
    <t>#</t>
  </si>
  <si>
    <t>Change</t>
  </si>
  <si>
    <t>Sheet(s) Affected</t>
  </si>
  <si>
    <t>Details</t>
  </si>
  <si>
    <t>QDD Actuator — Project Dashboard</t>
  </si>
  <si>
    <t>Requirements Summary</t>
  </si>
  <si>
    <t>Total Requirements</t>
  </si>
  <si>
    <t>Verified</t>
  </si>
  <si>
    <t>Failed</t>
  </si>
  <si>
    <t>Pending Review</t>
  </si>
  <si>
    <t>% Verified</t>
  </si>
  <si>
    <t>Test Campaign Summary</t>
  </si>
  <si>
    <t>Total Tests</t>
  </si>
  <si>
    <t>In Progress</t>
  </si>
  <si>
    <t>% Complete</t>
  </si>
  <si>
    <t>Traceability Coverage</t>
  </si>
  <si>
    <t>Covered (Primary Test)</t>
  </si>
  <si>
    <t>Partial (Secondary Only)</t>
  </si>
  <si>
    <t>Via Inspection/Demo/Analysis</t>
  </si>
  <si>
    <t>Gap (No Coverage)</t>
  </si>
  <si>
    <t>Gap Req IDs</t>
  </si>
  <si>
    <t>Unknowns Register</t>
  </si>
  <si>
    <t>Total Unknowns</t>
  </si>
  <si>
    <t>Open (excl. Merged)</t>
  </si>
  <si>
    <t>% Resolved</t>
  </si>
  <si>
    <t>Trace Valid?</t>
  </si>
  <si>
    <t>Legend</t>
  </si>
  <si>
    <t>Primary verification test</t>
  </si>
  <si>
    <t>Secondary / supporting test</t>
  </si>
  <si>
    <t>No direct link</t>
  </si>
  <si>
    <t>Characterization test (no specific req)</t>
  </si>
  <si>
    <t>Data validation dropdowns added</t>
  </si>
  <si>
    <t>Requirements, Test Log, Unknowns Register</t>
  </si>
  <si>
    <t>Dropdowns on: Test Status (G), Pass/Fail (K), Req Type (E), Verification Method (G), Req Status (H), Unknown Status (E), Unknown Priority (D). Prevents typos, enforces consistent values.</t>
  </si>
  <si>
    <t>Coverage column auto-derived via formula</t>
  </si>
  <si>
    <t>Traceability Matrix</t>
  </si>
  <si>
    <t>V3:V15 now uses COUNTIF to detect P/S entries + MATCH to Requirements verification method. Conditional formatting: green=Covered, yellow=Partial, blue=Via Inspection/Demo/Analysis, red=Gap.</t>
  </si>
  <si>
    <t>Requirements Status auto-derived from Test Log</t>
  </si>
  <si>
    <t>Requirements</t>
  </si>
  <si>
    <t>H2:H14 formulas use SUMPRODUCT+SEARCH to look up linked test results. Statuses: Verified, Failed, Partial, Pending Review, Not Verified. Conditional formatting applied.</t>
  </si>
  <si>
    <t>Dashboard summary sheet created</t>
  </si>
  <si>
    <t>Dashboard (new)</t>
  </si>
  <si>
    <t>Formula-driven summary: Requirements status counts, Test campaign progress, Traceability coverage counts + gap Req IDs, Unknowns resolution status. All auto-update.</t>
  </si>
  <si>
    <t>Cross-reference validation column added</t>
  </si>
  <si>
    <t>Test Log</t>
  </si>
  <si>
    <t>Column M 'Trace Valid?' checks that Req IDs in 'Traces To' (col D) exist in Requirements!A:A. Shows ✓, ✗ Check IDs, or N/A for characterization tests.</t>
  </si>
  <si>
    <t>Color legend added to Traceability Matrix</t>
  </si>
  <si>
    <t>Legend in A18:B22 documents P (blue, primary), S (green, secondary), blank (no link), Char. (characterization).</t>
  </si>
  <si>
    <t>Health Log template improved</t>
  </si>
  <si>
    <t>Health Log</t>
  </si>
  <si>
    <t>Visual Condition dropdown added (Good → Needs repair). Session # auto-increments when Date is entered (B3:B50 formula). Placeholder styling cleaned up.</t>
  </si>
  <si>
    <t>Test Level</t>
  </si>
  <si>
    <t>Interface</t>
  </si>
  <si>
    <t>Component</t>
  </si>
  <si>
    <t>System</t>
  </si>
  <si>
    <t>Verification Level</t>
  </si>
  <si>
    <t>Subsystem</t>
  </si>
  <si>
    <t>Comp</t>
  </si>
  <si>
    <t>Sys</t>
  </si>
  <si>
    <t>Intf</t>
  </si>
  <si>
    <t>Level Colors</t>
  </si>
  <si>
    <t>Component-level test</t>
  </si>
  <si>
    <t>Interface-level test</t>
  </si>
  <si>
    <t>System-level test</t>
  </si>
  <si>
    <t>Test Level Breakdown</t>
  </si>
  <si>
    <t>Total</t>
  </si>
  <si>
    <t>% Complete by Level</t>
  </si>
  <si>
    <t>Test level hierarchy added</t>
  </si>
  <si>
    <t>Test Log, Requirements, Dashboard, Traceability Matrix</t>
  </si>
  <si>
    <t>Test Log col D: Test Level (Component/Interface/Subsystem/System) with dropdown validation. Requirements col H: Verification Level with same dropdown. Dashboard: new 'Test Level Breakdown' section with COUNTIF/COUNTIFS formulas showing total &amp; complete counts per level. Traceability Matrix: new row 2 with color-coded level labels (green=Component, gold=Interface, purple=System) + legend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</si>
</sst>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9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4"/>
      <color rgb="FF2F5496"/>
      <name val="Calibri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i/>
      <sz val="9"/>
      <color theme="1"/>
      <name val="Calibri"/>
      <scheme val="minor"/>
    </font>
    <font>
      <sz val="11"/>
      <color rgb="FF000000"/>
      <name val="Calibri"/>
    </font>
    <font>
      <i/>
      <sz val="11"/>
      <color rgb="FF80808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D9D9D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000000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7" borderId="3" xfId="0" applyFont="1" applyFill="1" applyBorder="1"/>
    <xf numFmtId="0" fontId="0" fillId="0" borderId="4" xfId="0" applyBorder="1"/>
    <xf numFmtId="0" fontId="4" fillId="0" borderId="5" xfId="0" applyFont="1" applyBorder="1"/>
    <xf numFmtId="0" fontId="5" fillId="7" borderId="6" xfId="0" applyFont="1" applyFill="1" applyBorder="1"/>
    <xf numFmtId="0" fontId="0" fillId="0" borderId="7" xfId="0" applyBorder="1"/>
    <xf numFmtId="164" fontId="4" fillId="0" borderId="8" xfId="0" applyNumberFormat="1" applyFont="1" applyBorder="1"/>
    <xf numFmtId="0" fontId="7" fillId="0" borderId="8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0" xfId="0" applyFont="1" applyAlignment="1">
      <alignment horizontal="center" vertical="center" wrapText="1"/>
    </xf>
    <xf numFmtId="0" fontId="9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vertical="top" wrapText="1"/>
    </xf>
    <xf numFmtId="0" fontId="12" fillId="0" borderId="0" xfId="0" applyFont="1"/>
    <xf numFmtId="0" fontId="5" fillId="7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1" fillId="7" borderId="12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3" borderId="11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/>
    </xf>
    <xf numFmtId="0" fontId="5" fillId="11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4" fillId="0" borderId="0" xfId="0" applyFont="1" applyBorder="1"/>
    <xf numFmtId="164" fontId="4" fillId="0" borderId="0" xfId="0" applyNumberFormat="1" applyFont="1" applyBorder="1"/>
    <xf numFmtId="0" fontId="4" fillId="0" borderId="16" xfId="0" applyFont="1" applyBorder="1"/>
    <xf numFmtId="164" fontId="4" fillId="0" borderId="18" xfId="0" applyNumberFormat="1" applyFont="1" applyBorder="1"/>
    <xf numFmtId="164" fontId="5" fillId="7" borderId="17" xfId="0" applyNumberFormat="1" applyFont="1" applyFill="1" applyBorder="1" applyAlignment="1">
      <alignment horizontal="center"/>
    </xf>
    <xf numFmtId="0" fontId="5" fillId="7" borderId="19" xfId="0" applyFont="1" applyFill="1" applyBorder="1"/>
    <xf numFmtId="0" fontId="5" fillId="7" borderId="12" xfId="0" applyFont="1" applyFill="1" applyBorder="1" applyAlignment="1">
      <alignment horizontal="center"/>
    </xf>
    <xf numFmtId="0" fontId="9" fillId="0" borderId="21" xfId="0" applyFont="1" applyBorder="1"/>
    <xf numFmtId="0" fontId="9" fillId="0" borderId="24" xfId="0" applyFont="1" applyBorder="1"/>
    <xf numFmtId="164" fontId="9" fillId="0" borderId="23" xfId="0" applyNumberFormat="1" applyFont="1" applyBorder="1"/>
    <xf numFmtId="164" fontId="9" fillId="0" borderId="25" xfId="0" applyNumberFormat="1" applyFont="1" applyBorder="1"/>
    <xf numFmtId="0" fontId="0" fillId="0" borderId="13" xfId="0" applyBorder="1"/>
    <xf numFmtId="0" fontId="8" fillId="0" borderId="14" xfId="0" applyFont="1" applyFill="1" applyBorder="1"/>
    <xf numFmtId="0" fontId="0" fillId="0" borderId="13" xfId="0" applyBorder="1" applyAlignment="1">
      <alignment wrapText="1"/>
    </xf>
    <xf numFmtId="0" fontId="8" fillId="0" borderId="11" xfId="0" applyFont="1" applyFill="1" applyBorder="1" applyAlignment="1">
      <alignment wrapText="1"/>
    </xf>
    <xf numFmtId="1" fontId="0" fillId="0" borderId="20" xfId="0" applyNumberFormat="1" applyFont="1" applyBorder="1"/>
    <xf numFmtId="1" fontId="0" fillId="0" borderId="22" xfId="0" applyNumberFormat="1" applyBorder="1"/>
    <xf numFmtId="0" fontId="1" fillId="1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b/>
        <i val="0"/>
        <color rgb="FFC00000"/>
      </font>
      <fill>
        <patternFill patternType="solid">
          <fgColor indexed="64"/>
          <bgColor rgb="FFF4B084"/>
        </patternFill>
      </fill>
    </dxf>
    <dxf>
      <font>
        <color rgb="FF7F6000"/>
      </font>
      <fill>
        <patternFill patternType="solid">
          <fgColor indexed="64"/>
          <bgColor rgb="FFFFD966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D96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E379CA-32E1-4908-A6F0-5297EA458A2B}">
  <we:reference id="29673e3c-d826-4f00-92ee-162334a52b1a" version="1.0.0.8" store="\\Computer\OfficeAddins" storeType="Filesystem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D540-E151-4380-8135-6071A5FDD0F9}">
  <dimension ref="A1:C40"/>
  <sheetViews>
    <sheetView tabSelected="1" workbookViewId="0">
      <pane ySplit="1" topLeftCell="A4" activePane="bottomLeft" state="frozen"/>
      <selection pane="bottomLeft" activeCell="W23" sqref="W23"/>
    </sheetView>
  </sheetViews>
  <sheetFormatPr defaultRowHeight="14.5" x14ac:dyDescent="0.35"/>
  <cols>
    <col min="1" max="1" width="36.36328125" customWidth="1"/>
    <col min="2" max="2" width="18.1796875" customWidth="1"/>
    <col min="3" max="3" width="12.7265625" customWidth="1"/>
  </cols>
  <sheetData>
    <row r="1" spans="1:2" ht="18.5" x14ac:dyDescent="0.45">
      <c r="A1" s="8" t="s">
        <v>307</v>
      </c>
    </row>
    <row r="3" spans="1:2" x14ac:dyDescent="0.35">
      <c r="A3" s="9" t="s">
        <v>308</v>
      </c>
      <c r="B3" s="12"/>
    </row>
    <row r="4" spans="1:2" x14ac:dyDescent="0.35">
      <c r="A4" s="10" t="s">
        <v>309</v>
      </c>
      <c r="B4" s="13">
        <f>COUNTA(Requirements!A2:A100)</f>
        <v>13</v>
      </c>
    </row>
    <row r="5" spans="1:2" x14ac:dyDescent="0.35">
      <c r="A5" s="10" t="s">
        <v>310</v>
      </c>
      <c r="B5" s="13">
        <f>COUNTIF(Requirements!I2:I100,"Verified")</f>
        <v>0</v>
      </c>
    </row>
    <row r="6" spans="1:2" x14ac:dyDescent="0.35">
      <c r="A6" s="10" t="s">
        <v>311</v>
      </c>
      <c r="B6" s="13">
        <f>COUNTIF(Requirements!I2:I100,"Failed")</f>
        <v>2</v>
      </c>
    </row>
    <row r="7" spans="1:2" x14ac:dyDescent="0.35">
      <c r="A7" s="10" t="s">
        <v>116</v>
      </c>
      <c r="B7" s="13">
        <f>COUNTIF(Requirements!I2:I100,"Partial")</f>
        <v>1</v>
      </c>
    </row>
    <row r="8" spans="1:2" x14ac:dyDescent="0.35">
      <c r="A8" s="10" t="s">
        <v>312</v>
      </c>
      <c r="B8" s="13">
        <f>COUNTIF(Requirements!I2:I100,"Pending Review")</f>
        <v>2</v>
      </c>
    </row>
    <row r="9" spans="1:2" x14ac:dyDescent="0.35">
      <c r="A9" s="10" t="s">
        <v>16</v>
      </c>
      <c r="B9" s="13">
        <f>COUNTIF(Requirements!I2:I100,"Not Verified")</f>
        <v>8</v>
      </c>
    </row>
    <row r="10" spans="1:2" x14ac:dyDescent="0.35">
      <c r="A10" s="11" t="s">
        <v>313</v>
      </c>
      <c r="B10" s="14">
        <f>IF(B4&gt;0,B5/B4,0)</f>
        <v>0</v>
      </c>
    </row>
    <row r="12" spans="1:2" x14ac:dyDescent="0.35">
      <c r="A12" s="9" t="s">
        <v>314</v>
      </c>
      <c r="B12" s="12"/>
    </row>
    <row r="13" spans="1:2" x14ac:dyDescent="0.35">
      <c r="A13" s="10" t="s">
        <v>315</v>
      </c>
      <c r="B13" s="13">
        <f>COUNTA('Test Log'!A2:A100)</f>
        <v>19</v>
      </c>
    </row>
    <row r="14" spans="1:2" x14ac:dyDescent="0.35">
      <c r="A14" s="10" t="s">
        <v>139</v>
      </c>
      <c r="B14" s="13">
        <f>COUNTIF('Test Log'!H2:H100,"Complete")</f>
        <v>5</v>
      </c>
    </row>
    <row r="15" spans="1:2" x14ac:dyDescent="0.35">
      <c r="A15" s="10" t="s">
        <v>316</v>
      </c>
      <c r="B15" s="13">
        <f>COUNTIF('Test Log'!H2:H100,"In Progress")</f>
        <v>0</v>
      </c>
    </row>
    <row r="16" spans="1:2" x14ac:dyDescent="0.35">
      <c r="A16" s="10" t="s">
        <v>178</v>
      </c>
      <c r="B16" s="13">
        <f>COUNTIF('Test Log'!H2:H100,"Not Started")</f>
        <v>14</v>
      </c>
    </row>
    <row r="17" spans="1:3" x14ac:dyDescent="0.35">
      <c r="A17" s="10" t="s">
        <v>164</v>
      </c>
      <c r="B17" s="13">
        <f>COUNTIF('Test Log'!L2:L100,"Pass")</f>
        <v>1</v>
      </c>
    </row>
    <row r="18" spans="1:3" x14ac:dyDescent="0.35">
      <c r="A18" s="10" t="s">
        <v>150</v>
      </c>
      <c r="B18" s="13">
        <f>COUNTIF('Test Log'!L2:L100,"Fail")</f>
        <v>2</v>
      </c>
    </row>
    <row r="19" spans="1:3" x14ac:dyDescent="0.35">
      <c r="A19" s="52" t="s">
        <v>317</v>
      </c>
      <c r="B19" s="53">
        <f>IF(B13&gt;0,B14/B13,0)</f>
        <v>0.26315789473684209</v>
      </c>
    </row>
    <row r="20" spans="1:3" x14ac:dyDescent="0.35">
      <c r="A20" s="55" t="s">
        <v>367</v>
      </c>
      <c r="B20" s="54" t="s">
        <v>368</v>
      </c>
      <c r="C20" s="56" t="s">
        <v>139</v>
      </c>
    </row>
    <row r="21" spans="1:3" x14ac:dyDescent="0.35">
      <c r="A21" s="57" t="s">
        <v>356</v>
      </c>
      <c r="B21" s="65">
        <f>COUNTIF('Test Log'!D2:D100,"Component")</f>
        <v>5</v>
      </c>
      <c r="C21" s="66">
        <f>COUNTIFS('Test Log'!D2:D100,"Component",'Test Log'!H2:H100,"Complete")</f>
        <v>1</v>
      </c>
    </row>
    <row r="22" spans="1:3" x14ac:dyDescent="0.35">
      <c r="A22" s="57" t="s">
        <v>355</v>
      </c>
      <c r="B22" s="65">
        <f>COUNTIF('Test Log'!D2:D100,"Interface")</f>
        <v>4</v>
      </c>
      <c r="C22" s="66">
        <f>COUNTIFS('Test Log'!D2:D100,"Interface",'Test Log'!H2:H100,"Complete")</f>
        <v>4</v>
      </c>
    </row>
    <row r="23" spans="1:3" x14ac:dyDescent="0.35">
      <c r="A23" s="57" t="s">
        <v>359</v>
      </c>
      <c r="B23" s="65">
        <f>COUNTIF('Test Log'!D2:D100,"Subsystem")</f>
        <v>0</v>
      </c>
      <c r="C23" s="66">
        <f>COUNTIFS('Test Log'!D2:D100,"Subsystem",'Test Log'!H2:H100,"Complete")</f>
        <v>0</v>
      </c>
    </row>
    <row r="24" spans="1:3" x14ac:dyDescent="0.35">
      <c r="A24" s="57" t="s">
        <v>357</v>
      </c>
      <c r="B24" s="65">
        <f>COUNTIF('Test Log'!D2:D100,"System")</f>
        <v>10</v>
      </c>
      <c r="C24" s="66">
        <f>COUNTIFS('Test Log'!D2:D100,"System",'Test Log'!H2:H100,"Complete")</f>
        <v>0</v>
      </c>
    </row>
    <row r="25" spans="1:3" x14ac:dyDescent="0.35">
      <c r="A25" s="58" t="s">
        <v>369</v>
      </c>
      <c r="B25" s="59">
        <f>IF(B24&gt;0,C24/B24,0)</f>
        <v>0</v>
      </c>
      <c r="C25" s="60">
        <f>IF(SUM(B21:B24)&gt;0,SUM(C21:C24)/SUM(B21:B24),0)</f>
        <v>0.26315789473684209</v>
      </c>
    </row>
    <row r="26" spans="1:3" x14ac:dyDescent="0.35">
      <c r="A26" s="50"/>
      <c r="B26" s="51"/>
    </row>
    <row r="27" spans="1:3" x14ac:dyDescent="0.35">
      <c r="A27" s="50"/>
      <c r="B27" s="51"/>
    </row>
    <row r="29" spans="1:3" x14ac:dyDescent="0.35">
      <c r="A29" s="9" t="s">
        <v>318</v>
      </c>
      <c r="B29" s="12"/>
    </row>
    <row r="30" spans="1:3" x14ac:dyDescent="0.35">
      <c r="A30" s="10" t="s">
        <v>319</v>
      </c>
      <c r="B30" s="13">
        <f>COUNTIF('Traceability Matrix'!V4:V16,"Covered")</f>
        <v>2</v>
      </c>
    </row>
    <row r="31" spans="1:3" x14ac:dyDescent="0.35">
      <c r="A31" s="10" t="s">
        <v>320</v>
      </c>
      <c r="B31" s="13">
        <f>COUNTIF('Traceability Matrix'!V4:V16,"Partial")</f>
        <v>4</v>
      </c>
    </row>
    <row r="32" spans="1:3" x14ac:dyDescent="0.35">
      <c r="A32" s="10" t="s">
        <v>321</v>
      </c>
      <c r="B32" s="13">
        <f>COUNTIFS('Traceability Matrix'!V4:V16,"Via*")</f>
        <v>5</v>
      </c>
    </row>
    <row r="33" spans="1:2" x14ac:dyDescent="0.35">
      <c r="A33" s="10" t="s">
        <v>322</v>
      </c>
      <c r="B33" s="13">
        <f>COUNTIF('Traceability Matrix'!V4:V16,"Gap")</f>
        <v>2</v>
      </c>
    </row>
    <row r="34" spans="1:2" x14ac:dyDescent="0.35">
      <c r="A34" s="11" t="s">
        <v>323</v>
      </c>
      <c r="B34" s="15" t="str" cm="1">
        <f t="array" ref="B34">_xlfn.TEXTJOIN(", ",TRUE,IF('Traceability Matrix'!V4:V16="Gap",'Traceability Matrix'!A4:A16,""))</f>
        <v>R-07, R-08</v>
      </c>
    </row>
    <row r="36" spans="1:2" x14ac:dyDescent="0.35">
      <c r="A36" s="9" t="s">
        <v>324</v>
      </c>
      <c r="B36" s="12"/>
    </row>
    <row r="37" spans="1:2" x14ac:dyDescent="0.35">
      <c r="A37" s="10" t="s">
        <v>325</v>
      </c>
      <c r="B37" s="13">
        <f>COUNTA('Unknowns Register'!A2:A100)</f>
        <v>10</v>
      </c>
    </row>
    <row r="38" spans="1:2" x14ac:dyDescent="0.35">
      <c r="A38" s="10" t="s">
        <v>276</v>
      </c>
      <c r="B38" s="13">
        <f>COUNTIF('Unknowns Register'!E2:E100,"Resolved")</f>
        <v>1</v>
      </c>
    </row>
    <row r="39" spans="1:2" x14ac:dyDescent="0.35">
      <c r="A39" s="10" t="s">
        <v>326</v>
      </c>
      <c r="B39" s="13">
        <f>B37-B38-COUNTIF('Unknowns Register'!E2:E100,"Merged")</f>
        <v>8</v>
      </c>
    </row>
    <row r="40" spans="1:2" x14ac:dyDescent="0.35">
      <c r="A40" s="11" t="s">
        <v>327</v>
      </c>
      <c r="B40" s="14">
        <f>IF(B37-COUNTIF('Unknowns Register'!E2:E100,"Merged")&gt;0,B38/(B37-COUNTIF('Unknowns Register'!E2:E100,"Merged")),0)</f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opLeftCell="E1" workbookViewId="0">
      <pane ySplit="1" topLeftCell="A2" activePane="bottomLeft" state="frozen"/>
      <selection pane="bottomLeft" activeCell="I26" sqref="I26"/>
    </sheetView>
  </sheetViews>
  <sheetFormatPr defaultRowHeight="14.5" x14ac:dyDescent="0.35"/>
  <cols>
    <col min="1" max="1" width="12" customWidth="1"/>
    <col min="2" max="2" width="25" customWidth="1"/>
    <col min="3" max="3" width="45" customWidth="1"/>
    <col min="4" max="4" width="39" customWidth="1"/>
    <col min="5" max="5" width="12" customWidth="1"/>
    <col min="6" max="6" width="15" customWidth="1"/>
    <col min="7" max="8" width="21" customWidth="1"/>
    <col min="9" max="9" width="14" customWidth="1"/>
    <col min="10" max="10" width="21" customWidth="1"/>
    <col min="11" max="11" width="5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6" t="s">
        <v>6</v>
      </c>
      <c r="H1" s="32" t="s">
        <v>358</v>
      </c>
      <c r="I1" s="29" t="s">
        <v>7</v>
      </c>
      <c r="J1" s="1" t="s">
        <v>8</v>
      </c>
      <c r="K1" s="1" t="s">
        <v>9</v>
      </c>
    </row>
    <row r="2" spans="1:1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</v>
      </c>
      <c r="G2" s="17" t="s">
        <v>15</v>
      </c>
      <c r="H2" s="34" t="s">
        <v>357</v>
      </c>
      <c r="I2" s="31" t="str" cm="1">
        <f t="array" ref="I2">IF(G2&lt;&gt;"Test",IF(J2&lt;&gt;"","Pending Review","Not Verified"),IF(J2="","Not Verified",IF(SUMPRODUCT(ISNUMBER(SEARCH(A2,'Test Log'!E$2:E$20))*1)=0,"Not Verified",IF(SUMPRODUCT((ISNUMBER(SEARCH(A2,'Test Log'!E$2:E$20)))*('Test Log'!L$2:L$20="Fail"))&gt;0,"Failed",IF(AND(SUMPRODUCT((ISNUMBER(SEARCH(A2,'Test Log'!E$2:E$20)))*('Test Log'!L$2:L$20="Pass"))&gt;0,SUMPRODUCT((ISNUMBER(SEARCH(A2,'Test Log'!E$2:E$20)))*('Test Log'!L$2:L$20="Pass"))=SUMPRODUCT(ISNUMBER(SEARCH(A2,'Test Log'!E$2:E$20))*1)),"Verified",IF(SUMPRODUCT((ISNUMBER(SEARCH(A2,'Test Log'!E$2:E$20)))*('Test Log'!H$2:H$20="Complete"))&gt;0,"Partial","Not Verified"))))))</f>
        <v>Partial</v>
      </c>
      <c r="J2" s="2" t="s">
        <v>17</v>
      </c>
      <c r="K2" s="2" t="s">
        <v>18</v>
      </c>
    </row>
    <row r="3" spans="1:11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14</v>
      </c>
      <c r="F3" s="2">
        <v>2</v>
      </c>
      <c r="G3" s="17" t="s">
        <v>23</v>
      </c>
      <c r="H3" s="34" t="s">
        <v>356</v>
      </c>
      <c r="I3" s="31" t="str" cm="1">
        <f t="array" ref="I3">IF(G3&lt;&gt;"Test",IF(J3&lt;&gt;"","Pending Review","Not Verified"),IF(J3="","Not Verified",IF(SUMPRODUCT(ISNUMBER(SEARCH(A3,'Test Log'!E$2:E$20))*1)=0,"Not Verified",IF(SUMPRODUCT((ISNUMBER(SEARCH(A3,'Test Log'!E$2:E$20)))*('Test Log'!L$2:L$20="Fail"))&gt;0,"Failed",IF(AND(SUMPRODUCT((ISNUMBER(SEARCH(A3,'Test Log'!E$2:E$20)))*('Test Log'!L$2:L$20="Pass"))&gt;0,SUMPRODUCT((ISNUMBER(SEARCH(A3,'Test Log'!E$2:E$20)))*('Test Log'!L$2:L$20="Pass"))=SUMPRODUCT(ISNUMBER(SEARCH(A3,'Test Log'!E$2:E$20))*1)),"Verified",IF(SUMPRODUCT((ISNUMBER(SEARCH(A3,'Test Log'!E$2:E$20)))*('Test Log'!H$2:H$20="Complete"))&gt;0,"Partial","Not Verified"))))))</f>
        <v>Pending Review</v>
      </c>
      <c r="J3" s="2" t="s">
        <v>24</v>
      </c>
      <c r="K3" s="2" t="s">
        <v>25</v>
      </c>
    </row>
    <row r="4" spans="1:11" ht="29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14</v>
      </c>
      <c r="F4" s="2">
        <v>3</v>
      </c>
      <c r="G4" s="17" t="s">
        <v>23</v>
      </c>
      <c r="H4" s="34" t="s">
        <v>356</v>
      </c>
      <c r="I4" s="31" t="str" cm="1">
        <f t="array" ref="I4">IF(G4&lt;&gt;"Test",IF(J4&lt;&gt;"","Pending Review","Not Verified"),IF(J4="","Not Verified",IF(SUMPRODUCT(ISNUMBER(SEARCH(A4,'Test Log'!E$2:E$20))*1)=0,"Not Verified",IF(SUMPRODUCT((ISNUMBER(SEARCH(A4,'Test Log'!E$2:E$20)))*('Test Log'!L$2:L$20="Fail"))&gt;0,"Failed",IF(AND(SUMPRODUCT((ISNUMBER(SEARCH(A4,'Test Log'!E$2:E$20)))*('Test Log'!L$2:L$20="Pass"))&gt;0,SUMPRODUCT((ISNUMBER(SEARCH(A4,'Test Log'!E$2:E$20)))*('Test Log'!L$2:L$20="Pass"))=SUMPRODUCT(ISNUMBER(SEARCH(A4,'Test Log'!E$2:E$20))*1)),"Verified",IF(SUMPRODUCT((ISNUMBER(SEARCH(A4,'Test Log'!E$2:E$20)))*('Test Log'!H$2:H$20="Complete"))&gt;0,"Partial","Not Verified"))))))</f>
        <v>Pending Review</v>
      </c>
      <c r="J4" s="2" t="s">
        <v>30</v>
      </c>
      <c r="K4" s="2" t="s">
        <v>31</v>
      </c>
    </row>
    <row r="5" spans="1:11" ht="43.5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14</v>
      </c>
      <c r="F5" s="2">
        <v>4</v>
      </c>
      <c r="G5" s="17" t="s">
        <v>15</v>
      </c>
      <c r="H5" s="34" t="s">
        <v>357</v>
      </c>
      <c r="I5" s="31" t="str" cm="1">
        <f t="array" ref="I5">IF(G5&lt;&gt;"Test",IF(J5&lt;&gt;"","Pending Review","Not Verified"),IF(J5="","Not Verified",IF(SUMPRODUCT(ISNUMBER(SEARCH(A5,'Test Log'!E$2:E$20))*1)=0,"Not Verified",IF(SUMPRODUCT((ISNUMBER(SEARCH(A5,'Test Log'!E$2:E$20)))*('Test Log'!L$2:L$20="Fail"))&gt;0,"Failed",IF(AND(SUMPRODUCT((ISNUMBER(SEARCH(A5,'Test Log'!E$2:E$20)))*('Test Log'!L$2:L$20="Pass"))&gt;0,SUMPRODUCT((ISNUMBER(SEARCH(A5,'Test Log'!E$2:E$20)))*('Test Log'!L$2:L$20="Pass"))=SUMPRODUCT(ISNUMBER(SEARCH(A5,'Test Log'!E$2:E$20))*1)),"Verified",IF(SUMPRODUCT((ISNUMBER(SEARCH(A5,'Test Log'!E$2:E$20)))*('Test Log'!H$2:H$20="Complete"))&gt;0,"Partial","Not Verified"))))))</f>
        <v>Failed</v>
      </c>
      <c r="J5" s="2" t="s">
        <v>36</v>
      </c>
      <c r="K5" s="2" t="s">
        <v>37</v>
      </c>
    </row>
    <row r="6" spans="1:11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14</v>
      </c>
      <c r="F6" s="2">
        <v>5</v>
      </c>
      <c r="G6" s="17" t="s">
        <v>15</v>
      </c>
      <c r="H6" s="34" t="s">
        <v>357</v>
      </c>
      <c r="I6" s="31" t="str" cm="1">
        <f t="array" ref="I6">IF(G6&lt;&gt;"Test",IF(J6&lt;&gt;"","Pending Review","Not Verified"),IF(J6="","Not Verified",IF(SUMPRODUCT(ISNUMBER(SEARCH(A6,'Test Log'!E$2:E$20))*1)=0,"Not Verified",IF(SUMPRODUCT((ISNUMBER(SEARCH(A6,'Test Log'!E$2:E$20)))*('Test Log'!L$2:L$20="Fail"))&gt;0,"Failed",IF(AND(SUMPRODUCT((ISNUMBER(SEARCH(A6,'Test Log'!E$2:E$20)))*('Test Log'!L$2:L$20="Pass"))&gt;0,SUMPRODUCT((ISNUMBER(SEARCH(A6,'Test Log'!E$2:E$20)))*('Test Log'!L$2:L$20="Pass"))=SUMPRODUCT(ISNUMBER(SEARCH(A6,'Test Log'!E$2:E$20))*1)),"Verified",IF(SUMPRODUCT((ISNUMBER(SEARCH(A6,'Test Log'!E$2:E$20)))*('Test Log'!H$2:H$20="Complete"))&gt;0,"Partial","Not Verified"))))))</f>
        <v>Not Verified</v>
      </c>
      <c r="J6" s="2"/>
      <c r="K6" s="2" t="s">
        <v>42</v>
      </c>
    </row>
    <row r="7" spans="1:11" x14ac:dyDescent="0.35">
      <c r="A7" s="2" t="s">
        <v>43</v>
      </c>
      <c r="B7" s="2" t="s">
        <v>44</v>
      </c>
      <c r="C7" s="2" t="s">
        <v>45</v>
      </c>
      <c r="D7" s="2" t="s">
        <v>46</v>
      </c>
      <c r="E7" s="2" t="s">
        <v>14</v>
      </c>
      <c r="F7" s="2">
        <v>6</v>
      </c>
      <c r="G7" s="17" t="s">
        <v>15</v>
      </c>
      <c r="H7" s="34" t="s">
        <v>357</v>
      </c>
      <c r="I7" s="31" t="str" cm="1">
        <f t="array" ref="I7">IF(G7&lt;&gt;"Test",IF(J7&lt;&gt;"","Pending Review","Not Verified"),IF(J7="","Not Verified",IF(SUMPRODUCT(ISNUMBER(SEARCH(A7,'Test Log'!E$2:E$20))*1)=0,"Not Verified",IF(SUMPRODUCT((ISNUMBER(SEARCH(A7,'Test Log'!E$2:E$20)))*('Test Log'!L$2:L$20="Fail"))&gt;0,"Failed",IF(AND(SUMPRODUCT((ISNUMBER(SEARCH(A7,'Test Log'!E$2:E$20)))*('Test Log'!L$2:L$20="Pass"))&gt;0,SUMPRODUCT((ISNUMBER(SEARCH(A7,'Test Log'!E$2:E$20)))*('Test Log'!L$2:L$20="Pass"))=SUMPRODUCT(ISNUMBER(SEARCH(A7,'Test Log'!E$2:E$20))*1)),"Verified",IF(SUMPRODUCT((ISNUMBER(SEARCH(A7,'Test Log'!E$2:E$20)))*('Test Log'!H$2:H$20="Complete"))&gt;0,"Partial","Not Verified"))))))</f>
        <v>Not Verified</v>
      </c>
      <c r="J7" s="2"/>
      <c r="K7" s="2" t="s">
        <v>47</v>
      </c>
    </row>
    <row r="8" spans="1:11" x14ac:dyDescent="0.35">
      <c r="A8" s="2" t="s">
        <v>48</v>
      </c>
      <c r="B8" s="2" t="s">
        <v>49</v>
      </c>
      <c r="C8" s="2" t="s">
        <v>50</v>
      </c>
      <c r="D8" s="2" t="s">
        <v>51</v>
      </c>
      <c r="E8" s="2" t="s">
        <v>14</v>
      </c>
      <c r="F8" s="2">
        <v>7</v>
      </c>
      <c r="G8" s="17" t="s">
        <v>15</v>
      </c>
      <c r="H8" s="34" t="s">
        <v>357</v>
      </c>
      <c r="I8" s="31" t="str" cm="1">
        <f t="array" ref="I8">IF(G8&lt;&gt;"Test",IF(J8&lt;&gt;"","Pending Review","Not Verified"),IF(J8="","Not Verified",IF(SUMPRODUCT(ISNUMBER(SEARCH(A8,'Test Log'!E$2:E$20))*1)=0,"Not Verified",IF(SUMPRODUCT((ISNUMBER(SEARCH(A8,'Test Log'!E$2:E$20)))*('Test Log'!L$2:L$20="Fail"))&gt;0,"Failed",IF(AND(SUMPRODUCT((ISNUMBER(SEARCH(A8,'Test Log'!E$2:E$20)))*('Test Log'!L$2:L$20="Pass"))&gt;0,SUMPRODUCT((ISNUMBER(SEARCH(A8,'Test Log'!E$2:E$20)))*('Test Log'!L$2:L$20="Pass"))=SUMPRODUCT(ISNUMBER(SEARCH(A8,'Test Log'!E$2:E$20))*1)),"Verified",IF(SUMPRODUCT((ISNUMBER(SEARCH(A8,'Test Log'!E$2:E$20)))*('Test Log'!H$2:H$20="Complete"))&gt;0,"Partial","Not Verified"))))))</f>
        <v>Not Verified</v>
      </c>
      <c r="J8" s="2"/>
      <c r="K8" s="2" t="s">
        <v>52</v>
      </c>
    </row>
    <row r="9" spans="1:11" ht="29" x14ac:dyDescent="0.35">
      <c r="A9" s="2" t="s">
        <v>53</v>
      </c>
      <c r="B9" s="2" t="s">
        <v>54</v>
      </c>
      <c r="C9" s="2" t="s">
        <v>55</v>
      </c>
      <c r="D9" s="2" t="s">
        <v>56</v>
      </c>
      <c r="E9" s="2" t="s">
        <v>14</v>
      </c>
      <c r="F9" s="2">
        <v>8</v>
      </c>
      <c r="G9" s="17" t="s">
        <v>15</v>
      </c>
      <c r="H9" s="34" t="s">
        <v>357</v>
      </c>
      <c r="I9" s="31" t="str" cm="1">
        <f t="array" ref="I9">IF(G9&lt;&gt;"Test",IF(J9&lt;&gt;"","Pending Review","Not Verified"),IF(J9="","Not Verified",IF(SUMPRODUCT(ISNUMBER(SEARCH(A9,'Test Log'!E$2:E$20))*1)=0,"Not Verified",IF(SUMPRODUCT((ISNUMBER(SEARCH(A9,'Test Log'!E$2:E$20)))*('Test Log'!L$2:L$20="Fail"))&gt;0,"Failed",IF(AND(SUMPRODUCT((ISNUMBER(SEARCH(A9,'Test Log'!E$2:E$20)))*('Test Log'!L$2:L$20="Pass"))&gt;0,SUMPRODUCT((ISNUMBER(SEARCH(A9,'Test Log'!E$2:E$20)))*('Test Log'!L$2:L$20="Pass"))=SUMPRODUCT(ISNUMBER(SEARCH(A9,'Test Log'!E$2:E$20))*1)),"Verified",IF(SUMPRODUCT((ISNUMBER(SEARCH(A9,'Test Log'!E$2:E$20)))*('Test Log'!H$2:H$20="Complete"))&gt;0,"Partial","Not Verified"))))))</f>
        <v>Not Verified</v>
      </c>
      <c r="J9" s="2"/>
      <c r="K9" s="2" t="s">
        <v>57</v>
      </c>
    </row>
    <row r="10" spans="1:11" ht="29" x14ac:dyDescent="0.3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>
        <v>9</v>
      </c>
      <c r="G10" s="17" t="s">
        <v>15</v>
      </c>
      <c r="H10" s="34" t="s">
        <v>357</v>
      </c>
      <c r="I10" s="31" t="str" cm="1">
        <f t="array" ref="I10">IF(G10&lt;&gt;"Test",IF(J10&lt;&gt;"","Pending Review","Not Verified"),IF(J10="","Not Verified",IF(SUMPRODUCT(ISNUMBER(SEARCH(A10,'Test Log'!E$2:E$20))*1)=0,"Not Verified",IF(SUMPRODUCT((ISNUMBER(SEARCH(A10,'Test Log'!E$2:E$20)))*('Test Log'!L$2:L$20="Fail"))&gt;0,"Failed",IF(AND(SUMPRODUCT((ISNUMBER(SEARCH(A10,'Test Log'!E$2:E$20)))*('Test Log'!L$2:L$20="Pass"))&gt;0,SUMPRODUCT((ISNUMBER(SEARCH(A10,'Test Log'!E$2:E$20)))*('Test Log'!L$2:L$20="Pass"))=SUMPRODUCT(ISNUMBER(SEARCH(A10,'Test Log'!E$2:E$20))*1)),"Verified",IF(SUMPRODUCT((ISNUMBER(SEARCH(A10,'Test Log'!E$2:E$20)))*('Test Log'!H$2:H$20="Complete"))&gt;0,"Partial","Not Verified"))))))</f>
        <v>Failed</v>
      </c>
      <c r="J10" s="2" t="s">
        <v>63</v>
      </c>
      <c r="K10" s="2" t="s">
        <v>64</v>
      </c>
    </row>
    <row r="11" spans="1:11" ht="29" x14ac:dyDescent="0.35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62</v>
      </c>
      <c r="F11" s="2">
        <v>10</v>
      </c>
      <c r="G11" s="17" t="s">
        <v>23</v>
      </c>
      <c r="H11" s="34" t="s">
        <v>356</v>
      </c>
      <c r="I11" s="31" t="str" cm="1">
        <f t="array" ref="I11">IF(G11&lt;&gt;"Test",IF(J11&lt;&gt;"","Pending Review","Not Verified"),IF(J11="","Not Verified",IF(SUMPRODUCT(ISNUMBER(SEARCH(A11,'Test Log'!E$2:E$20))*1)=0,"Not Verified",IF(SUMPRODUCT((ISNUMBER(SEARCH(A11,'Test Log'!E$2:E$20)))*('Test Log'!L$2:L$20="Fail"))&gt;0,"Failed",IF(AND(SUMPRODUCT((ISNUMBER(SEARCH(A11,'Test Log'!E$2:E$20)))*('Test Log'!L$2:L$20="Pass"))&gt;0,SUMPRODUCT((ISNUMBER(SEARCH(A11,'Test Log'!E$2:E$20)))*('Test Log'!L$2:L$20="Pass"))=SUMPRODUCT(ISNUMBER(SEARCH(A11,'Test Log'!E$2:E$20))*1)),"Verified",IF(SUMPRODUCT((ISNUMBER(SEARCH(A11,'Test Log'!E$2:E$20)))*('Test Log'!H$2:H$20="Complete"))&gt;0,"Partial","Not Verified"))))))</f>
        <v>Not Verified</v>
      </c>
      <c r="J11" s="2"/>
      <c r="K11" s="2" t="s">
        <v>69</v>
      </c>
    </row>
    <row r="12" spans="1:11" ht="29" x14ac:dyDescent="0.35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62</v>
      </c>
      <c r="F12" s="2">
        <v>11</v>
      </c>
      <c r="G12" s="17" t="s">
        <v>15</v>
      </c>
      <c r="H12" s="34" t="s">
        <v>357</v>
      </c>
      <c r="I12" s="31" t="str" cm="1">
        <f t="array" ref="I12">IF(G12&lt;&gt;"Test",IF(J12&lt;&gt;"","Pending Review","Not Verified"),IF(J12="","Not Verified",IF(SUMPRODUCT(ISNUMBER(SEARCH(A12,'Test Log'!E$2:E$20))*1)=0,"Not Verified",IF(SUMPRODUCT((ISNUMBER(SEARCH(A12,'Test Log'!E$2:E$20)))*('Test Log'!L$2:L$20="Fail"))&gt;0,"Failed",IF(AND(SUMPRODUCT((ISNUMBER(SEARCH(A12,'Test Log'!E$2:E$20)))*('Test Log'!L$2:L$20="Pass"))&gt;0,SUMPRODUCT((ISNUMBER(SEARCH(A12,'Test Log'!E$2:E$20)))*('Test Log'!L$2:L$20="Pass"))=SUMPRODUCT(ISNUMBER(SEARCH(A12,'Test Log'!E$2:E$20))*1)),"Verified",IF(SUMPRODUCT((ISNUMBER(SEARCH(A12,'Test Log'!E$2:E$20)))*('Test Log'!H$2:H$20="Complete"))&gt;0,"Partial","Not Verified"))))))</f>
        <v>Not Verified</v>
      </c>
      <c r="J12" s="2" t="s">
        <v>74</v>
      </c>
      <c r="K12" s="2" t="s">
        <v>75</v>
      </c>
    </row>
    <row r="13" spans="1:11" x14ac:dyDescent="0.3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62</v>
      </c>
      <c r="F13" s="2">
        <v>12</v>
      </c>
      <c r="G13" s="17" t="s">
        <v>80</v>
      </c>
      <c r="H13" s="34" t="s">
        <v>359</v>
      </c>
      <c r="I13" s="31" t="str" cm="1">
        <f t="array" ref="I13">IF(G13&lt;&gt;"Test",IF(J13&lt;&gt;"","Pending Review","Not Verified"),IF(J13="","Not Verified",IF(SUMPRODUCT(ISNUMBER(SEARCH(A13,'Test Log'!E$2:E$20))*1)=0,"Not Verified",IF(SUMPRODUCT((ISNUMBER(SEARCH(A13,'Test Log'!E$2:E$20)))*('Test Log'!L$2:L$20="Fail"))&gt;0,"Failed",IF(AND(SUMPRODUCT((ISNUMBER(SEARCH(A13,'Test Log'!E$2:E$20)))*('Test Log'!L$2:L$20="Pass"))&gt;0,SUMPRODUCT((ISNUMBER(SEARCH(A13,'Test Log'!E$2:E$20)))*('Test Log'!L$2:L$20="Pass"))=SUMPRODUCT(ISNUMBER(SEARCH(A13,'Test Log'!E$2:E$20))*1)),"Verified",IF(SUMPRODUCT((ISNUMBER(SEARCH(A13,'Test Log'!E$2:E$20)))*('Test Log'!H$2:H$20="Complete"))&gt;0,"Partial","Not Verified"))))))</f>
        <v>Not Verified</v>
      </c>
      <c r="J13" s="2"/>
      <c r="K13" s="2" t="s">
        <v>81</v>
      </c>
    </row>
    <row r="14" spans="1:11" x14ac:dyDescent="0.35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62</v>
      </c>
      <c r="F14" s="2">
        <v>13</v>
      </c>
      <c r="G14" s="17" t="s">
        <v>86</v>
      </c>
      <c r="H14" s="33" t="s">
        <v>356</v>
      </c>
      <c r="I14" s="31" t="str" cm="1">
        <f t="array" ref="I14">IF(G14&lt;&gt;"Test",IF(J14&lt;&gt;"","Pending Review","Not Verified"),IF(J14="","Not Verified",IF(SUMPRODUCT(ISNUMBER(SEARCH(A14,'Test Log'!E$2:E$20))*1)=0,"Not Verified",IF(SUMPRODUCT((ISNUMBER(SEARCH(A14,'Test Log'!E$2:E$20)))*('Test Log'!L$2:L$20="Fail"))&gt;0,"Failed",IF(AND(SUMPRODUCT((ISNUMBER(SEARCH(A14,'Test Log'!E$2:E$20)))*('Test Log'!L$2:L$20="Pass"))&gt;0,SUMPRODUCT((ISNUMBER(SEARCH(A14,'Test Log'!E$2:E$20)))*('Test Log'!L$2:L$20="Pass"))=SUMPRODUCT(ISNUMBER(SEARCH(A14,'Test Log'!E$2:E$20))*1)),"Verified",IF(SUMPRODUCT((ISNUMBER(SEARCH(A14,'Test Log'!E$2:E$20)))*('Test Log'!H$2:H$20="Complete"))&gt;0,"Partial","Not Verified"))))))</f>
        <v>Not Verified</v>
      </c>
      <c r="J14" s="2"/>
      <c r="K14" s="2" t="s">
        <v>87</v>
      </c>
    </row>
  </sheetData>
  <conditionalFormatting sqref="I2:I50">
    <cfRule type="containsText" dxfId="19" priority="1" stopIfTrue="1" operator="containsText" text="Not Verified">
      <formula>NOT(ISERROR(SEARCH("Not Verified",I2)))</formula>
    </cfRule>
    <cfRule type="containsText" dxfId="18" priority="2" operator="containsText" text="Pending Review">
      <formula>NOT(ISERROR(SEARCH("Pending Review",I2)))</formula>
    </cfRule>
    <cfRule type="containsText" dxfId="17" priority="3" operator="containsText" text="Failed">
      <formula>NOT(ISERROR(SEARCH("Failed",I2)))</formula>
    </cfRule>
    <cfRule type="containsText" dxfId="16" priority="4" operator="containsText" text="Partial">
      <formula>NOT(ISERROR(SEARCH("Partial",I2)))</formula>
    </cfRule>
    <cfRule type="containsText" dxfId="15" priority="5" operator="containsText" text="Verified">
      <formula>NOT(ISERROR(SEARCH("Verified",I2)))</formula>
    </cfRule>
  </conditionalFormatting>
  <dataValidations count="4">
    <dataValidation type="list" allowBlank="1" showInputMessage="1" showErrorMessage="1" sqref="E2:E50" xr:uid="{D03195CD-8EF9-4BE7-A5C5-C4F1A9C34A4F}">
      <formula1>"Hard, Soft"</formula1>
    </dataValidation>
    <dataValidation type="list" allowBlank="1" showInputMessage="1" showErrorMessage="1" sqref="G15:H50 G2:G14" xr:uid="{C25A0FDF-30E6-484B-8675-973793B12487}">
      <formula1>"Test, Inspection, Analysis, Demonstration"</formula1>
    </dataValidation>
    <dataValidation type="list" allowBlank="1" showInputMessage="1" showErrorMessage="1" sqref="I2:I50" xr:uid="{E9BF8B88-7200-42EC-ACEE-159944F28D68}">
      <formula1>"Not Verified, Verified, Failed"</formula1>
    </dataValidation>
    <dataValidation type="list" allowBlank="1" showInputMessage="1" showErrorMessage="1" sqref="H2:H14" xr:uid="{2C49E4AE-2B74-43C6-AA63-D6A5BFBA9652}">
      <formula1>"Component,Interface,Subsystem,System"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4.5" x14ac:dyDescent="0.35"/>
  <cols>
    <col min="1" max="1" width="8" customWidth="1"/>
    <col min="2" max="2" width="18" customWidth="1"/>
    <col min="3" max="21" width="13" customWidth="1"/>
    <col min="22" max="22" width="14" customWidth="1"/>
  </cols>
  <sheetData>
    <row r="1" spans="1:22" x14ac:dyDescent="0.35">
      <c r="A1" s="35"/>
      <c r="B1" s="35"/>
      <c r="C1" s="35" t="s">
        <v>88</v>
      </c>
      <c r="D1" s="35" t="s">
        <v>88</v>
      </c>
      <c r="E1" s="35" t="s">
        <v>88</v>
      </c>
      <c r="F1" s="35" t="s">
        <v>88</v>
      </c>
      <c r="G1" s="35" t="s">
        <v>89</v>
      </c>
      <c r="H1" s="35" t="s">
        <v>89</v>
      </c>
      <c r="I1" s="35" t="s">
        <v>90</v>
      </c>
      <c r="J1" s="35" t="s">
        <v>90</v>
      </c>
      <c r="K1" s="35" t="s">
        <v>90</v>
      </c>
      <c r="L1" s="35" t="s">
        <v>91</v>
      </c>
      <c r="M1" s="35" t="s">
        <v>91</v>
      </c>
      <c r="N1" s="35" t="s">
        <v>92</v>
      </c>
      <c r="O1" s="35" t="s">
        <v>92</v>
      </c>
      <c r="P1" s="35" t="s">
        <v>92</v>
      </c>
      <c r="Q1" s="35" t="s">
        <v>93</v>
      </c>
      <c r="R1" s="35" t="s">
        <v>93</v>
      </c>
      <c r="S1" s="35" t="s">
        <v>93</v>
      </c>
      <c r="T1" s="35" t="s">
        <v>93</v>
      </c>
      <c r="U1" s="35" t="s">
        <v>93</v>
      </c>
      <c r="V1" s="1"/>
    </row>
    <row r="2" spans="1:22" x14ac:dyDescent="0.35">
      <c r="A2" s="43"/>
      <c r="B2" s="30" t="s">
        <v>354</v>
      </c>
      <c r="C2" s="44" t="s">
        <v>360</v>
      </c>
      <c r="D2" s="38" t="s">
        <v>360</v>
      </c>
      <c r="E2" s="38" t="s">
        <v>360</v>
      </c>
      <c r="F2" s="38" t="s">
        <v>360</v>
      </c>
      <c r="G2" s="40" t="s">
        <v>361</v>
      </c>
      <c r="H2" s="40" t="s">
        <v>361</v>
      </c>
      <c r="I2" s="40" t="s">
        <v>361</v>
      </c>
      <c r="J2" s="40" t="s">
        <v>361</v>
      </c>
      <c r="K2" s="40" t="s">
        <v>361</v>
      </c>
      <c r="L2" s="40" t="s">
        <v>361</v>
      </c>
      <c r="M2" s="40" t="s">
        <v>361</v>
      </c>
      <c r="N2" s="40" t="s">
        <v>361</v>
      </c>
      <c r="O2" s="40" t="s">
        <v>361</v>
      </c>
      <c r="P2" s="39" t="s">
        <v>361</v>
      </c>
      <c r="Q2" s="67" t="s">
        <v>362</v>
      </c>
      <c r="R2" s="42" t="s">
        <v>362</v>
      </c>
      <c r="S2" s="37" t="s">
        <v>360</v>
      </c>
      <c r="T2" s="67" t="s">
        <v>362</v>
      </c>
      <c r="U2" s="41" t="s">
        <v>362</v>
      </c>
      <c r="V2" s="29"/>
    </row>
    <row r="3" spans="1:22" ht="43.5" x14ac:dyDescent="0.35">
      <c r="A3" s="36" t="s">
        <v>0</v>
      </c>
      <c r="B3" s="36" t="s">
        <v>1</v>
      </c>
      <c r="C3" s="36" t="s">
        <v>94</v>
      </c>
      <c r="D3" s="36" t="s">
        <v>95</v>
      </c>
      <c r="E3" s="36" t="s">
        <v>96</v>
      </c>
      <c r="F3" s="36" t="s">
        <v>97</v>
      </c>
      <c r="G3" s="36" t="s">
        <v>98</v>
      </c>
      <c r="H3" s="36" t="s">
        <v>99</v>
      </c>
      <c r="I3" s="36" t="s">
        <v>100</v>
      </c>
      <c r="J3" s="36" t="s">
        <v>101</v>
      </c>
      <c r="K3" s="36" t="s">
        <v>102</v>
      </c>
      <c r="L3" s="36" t="s">
        <v>103</v>
      </c>
      <c r="M3" s="36" t="s">
        <v>104</v>
      </c>
      <c r="N3" s="36" t="s">
        <v>105</v>
      </c>
      <c r="O3" s="36" t="s">
        <v>106</v>
      </c>
      <c r="P3" s="36" t="s">
        <v>107</v>
      </c>
      <c r="Q3" s="36" t="s">
        <v>108</v>
      </c>
      <c r="R3" s="36" t="s">
        <v>109</v>
      </c>
      <c r="S3" s="36" t="s">
        <v>110</v>
      </c>
      <c r="T3" s="36" t="s">
        <v>111</v>
      </c>
      <c r="U3" s="36" t="s">
        <v>112</v>
      </c>
      <c r="V3" s="1" t="s">
        <v>113</v>
      </c>
    </row>
    <row r="4" spans="1:22" x14ac:dyDescent="0.35">
      <c r="A4" s="3" t="s">
        <v>10</v>
      </c>
      <c r="B4" s="3" t="s">
        <v>11</v>
      </c>
      <c r="C4" s="3"/>
      <c r="D4" s="3"/>
      <c r="E4" s="3"/>
      <c r="F4" s="3"/>
      <c r="G4" s="4" t="s">
        <v>114</v>
      </c>
      <c r="H4" s="3"/>
      <c r="I4" s="3"/>
      <c r="J4" s="3"/>
      <c r="K4" s="3"/>
      <c r="L4" s="3"/>
      <c r="M4" s="3"/>
      <c r="N4" s="3"/>
      <c r="O4" s="3"/>
      <c r="P4" s="3"/>
      <c r="Q4" s="5" t="s">
        <v>115</v>
      </c>
      <c r="R4" s="3"/>
      <c r="S4" s="3"/>
      <c r="T4" s="5" t="s">
        <v>115</v>
      </c>
      <c r="U4" s="3"/>
      <c r="V4" s="6" t="str">
        <f>IF(COUNTIF(C4:U4,"P")&gt;0,"Covered",IF(COUNTIF(C4:U4,"S")&gt;0,"Partial",IF(INDEX(Requirements!G:G,MATCH(A4,Requirements!A:A,0))="Inspection","Via Inspection",IF(INDEX(Requirements!G:G,MATCH(A4,Requirements!A:A,0))="Demonstration","Via Demonstration",IF(INDEX(Requirements!G:G,MATCH(A4,Requirements!A:A,0))="Analysis","Via Analysis","Gap")))))</f>
        <v>Covered</v>
      </c>
    </row>
    <row r="5" spans="1:22" x14ac:dyDescent="0.35">
      <c r="A5" s="3" t="s">
        <v>19</v>
      </c>
      <c r="B5" s="3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6" t="str">
        <f>IF(COUNTIF(C5:U5,"P")&gt;0,"Covered",IF(COUNTIF(C5:U5,"S")&gt;0,"Partial",IF(INDEX(Requirements!G:G,MATCH(A5,Requirements!A:A,0))="Inspection","Via Inspection",IF(INDEX(Requirements!G:G,MATCH(A5,Requirements!A:A,0))="Demonstration","Via Demonstration",IF(INDEX(Requirements!G:G,MATCH(A5,Requirements!A:A,0))="Analysis","Via Analysis","Gap")))))</f>
        <v>Via Inspection</v>
      </c>
    </row>
    <row r="6" spans="1:22" x14ac:dyDescent="0.35">
      <c r="A6" s="3" t="s">
        <v>26</v>
      </c>
      <c r="B6" s="3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6" t="str">
        <f>IF(COUNTIF(C6:U6,"P")&gt;0,"Covered",IF(COUNTIF(C6:U6,"S")&gt;0,"Partial",IF(INDEX(Requirements!G:G,MATCH(A6,Requirements!A:A,0))="Inspection","Via Inspection",IF(INDEX(Requirements!G:G,MATCH(A6,Requirements!A:A,0))="Demonstration","Via Demonstration",IF(INDEX(Requirements!G:G,MATCH(A6,Requirements!A:A,0))="Analysis","Via Analysis","Gap")))))</f>
        <v>Via Inspection</v>
      </c>
    </row>
    <row r="7" spans="1:22" x14ac:dyDescent="0.35">
      <c r="A7" s="3" t="s">
        <v>32</v>
      </c>
      <c r="B7" s="3" t="s">
        <v>33</v>
      </c>
      <c r="C7" s="3"/>
      <c r="D7" s="3"/>
      <c r="E7" s="3"/>
      <c r="F7" s="3"/>
      <c r="G7" s="3"/>
      <c r="H7" s="4" t="s">
        <v>114</v>
      </c>
      <c r="I7" s="4" t="s">
        <v>114</v>
      </c>
      <c r="J7" s="3"/>
      <c r="K7" s="4" t="s">
        <v>114</v>
      </c>
      <c r="L7" s="3"/>
      <c r="M7" s="3"/>
      <c r="N7" s="3"/>
      <c r="O7" s="3"/>
      <c r="P7" s="3"/>
      <c r="Q7" s="5" t="s">
        <v>115</v>
      </c>
      <c r="R7" s="5" t="s">
        <v>115</v>
      </c>
      <c r="S7" s="3"/>
      <c r="T7" s="3"/>
      <c r="U7" s="5" t="s">
        <v>115</v>
      </c>
      <c r="V7" s="6" t="str">
        <f>IF(COUNTIF(C7:U7,"P")&gt;0,"Covered",IF(COUNTIF(C7:U7,"S")&gt;0,"Partial",IF(INDEX(Requirements!G:G,MATCH(A7,Requirements!A:A,0))="Inspection","Via Inspection",IF(INDEX(Requirements!G:G,MATCH(A7,Requirements!A:A,0))="Demonstration","Via Demonstration",IF(INDEX(Requirements!G:G,MATCH(A7,Requirements!A:A,0))="Analysis","Via Analysis","Gap")))))</f>
        <v>Covered</v>
      </c>
    </row>
    <row r="8" spans="1:22" x14ac:dyDescent="0.35">
      <c r="A8" s="3" t="s">
        <v>38</v>
      </c>
      <c r="B8" s="3" t="s">
        <v>39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 t="s">
        <v>115</v>
      </c>
      <c r="T8" s="3"/>
      <c r="U8" s="5" t="s">
        <v>115</v>
      </c>
      <c r="V8" s="6" t="str">
        <f>IF(COUNTIF(C8:U8,"P")&gt;0,"Covered",IF(COUNTIF(C8:U8,"S")&gt;0,"Partial",IF(INDEX(Requirements!G:G,MATCH(A8,Requirements!A:A,0))="Inspection","Via Inspection",IF(INDEX(Requirements!G:G,MATCH(A8,Requirements!A:A,0))="Demonstration","Via Demonstration",IF(INDEX(Requirements!G:G,MATCH(A8,Requirements!A:A,0))="Analysis","Via Analysis","Gap")))))</f>
        <v>Partial</v>
      </c>
    </row>
    <row r="9" spans="1:22" x14ac:dyDescent="0.35">
      <c r="A9" s="3" t="s">
        <v>43</v>
      </c>
      <c r="B9" s="3" t="s">
        <v>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 t="s">
        <v>115</v>
      </c>
      <c r="T9" s="3"/>
      <c r="U9" s="5" t="s">
        <v>115</v>
      </c>
      <c r="V9" s="6" t="str">
        <f>IF(COUNTIF(C9:U9,"P")&gt;0,"Covered",IF(COUNTIF(C9:U9,"S")&gt;0,"Partial",IF(INDEX(Requirements!G:G,MATCH(A9,Requirements!A:A,0))="Inspection","Via Inspection",IF(INDEX(Requirements!G:G,MATCH(A9,Requirements!A:A,0))="Demonstration","Via Demonstration",IF(INDEX(Requirements!G:G,MATCH(A9,Requirements!A:A,0))="Analysis","Via Analysis","Gap")))))</f>
        <v>Partial</v>
      </c>
    </row>
    <row r="10" spans="1:22" x14ac:dyDescent="0.35">
      <c r="A10" s="3" t="s">
        <v>48</v>
      </c>
      <c r="B10" s="3" t="s">
        <v>49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6" t="str">
        <f>IF(COUNTIF(C10:U10,"P")&gt;0,"Covered",IF(COUNTIF(C10:U10,"S")&gt;0,"Partial",IF(INDEX(Requirements!G:G,MATCH(A10,Requirements!A:A,0))="Inspection","Via Inspection",IF(INDEX(Requirements!G:G,MATCH(A10,Requirements!A:A,0))="Demonstration","Via Demonstration",IF(INDEX(Requirements!G:G,MATCH(A10,Requirements!A:A,0))="Analysis","Via Analysis","Gap")))))</f>
        <v>Gap</v>
      </c>
    </row>
    <row r="11" spans="1:22" ht="29" x14ac:dyDescent="0.35">
      <c r="A11" s="3" t="s">
        <v>53</v>
      </c>
      <c r="B11" s="3" t="s">
        <v>54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6" t="str">
        <f>IF(COUNTIF(C11:U11,"P")&gt;0,"Covered",IF(COUNTIF(C11:U11,"S")&gt;0,"Partial",IF(INDEX(Requirements!G:G,MATCH(A11,Requirements!A:A,0))="Inspection","Via Inspection",IF(INDEX(Requirements!G:G,MATCH(A11,Requirements!A:A,0))="Demonstration","Via Demonstration",IF(INDEX(Requirements!G:G,MATCH(A11,Requirements!A:A,0))="Analysis","Via Analysis","Gap")))))</f>
        <v>Gap</v>
      </c>
    </row>
    <row r="12" spans="1:22" x14ac:dyDescent="0.35">
      <c r="A12" s="3" t="s">
        <v>58</v>
      </c>
      <c r="B12" s="3" t="s">
        <v>59</v>
      </c>
      <c r="C12" s="3"/>
      <c r="D12" s="3"/>
      <c r="E12" s="5" t="s">
        <v>115</v>
      </c>
      <c r="F12" s="3"/>
      <c r="G12" s="3"/>
      <c r="H12" s="3"/>
      <c r="I12" s="5" t="s">
        <v>115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6" t="str">
        <f>IF(COUNTIF(C12:U12,"P")&gt;0,"Covered",IF(COUNTIF(C12:U12,"S")&gt;0,"Partial",IF(INDEX(Requirements!G:G,MATCH(A12,Requirements!A:A,0))="Inspection","Via Inspection",IF(INDEX(Requirements!G:G,MATCH(A12,Requirements!A:A,0))="Demonstration","Via Demonstration",IF(INDEX(Requirements!G:G,MATCH(A12,Requirements!A:A,0))="Analysis","Via Analysis","Gap")))))</f>
        <v>Partial</v>
      </c>
    </row>
    <row r="13" spans="1:22" x14ac:dyDescent="0.35">
      <c r="A13" s="3" t="s">
        <v>65</v>
      </c>
      <c r="B13" s="3" t="s">
        <v>66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6" t="str">
        <f>IF(COUNTIF(C13:U13,"P")&gt;0,"Covered",IF(COUNTIF(C13:U13,"S")&gt;0,"Partial",IF(INDEX(Requirements!G:G,MATCH(A13,Requirements!A:A,0))="Inspection","Via Inspection",IF(INDEX(Requirements!G:G,MATCH(A13,Requirements!A:A,0))="Demonstration","Via Demonstration",IF(INDEX(Requirements!G:G,MATCH(A13,Requirements!A:A,0))="Analysis","Via Analysis","Gap")))))</f>
        <v>Via Inspection</v>
      </c>
    </row>
    <row r="14" spans="1:22" x14ac:dyDescent="0.35">
      <c r="A14" s="3" t="s">
        <v>70</v>
      </c>
      <c r="B14" s="3" t="s">
        <v>71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5" t="s">
        <v>115</v>
      </c>
      <c r="N14" s="3"/>
      <c r="O14" s="3"/>
      <c r="P14" s="3"/>
      <c r="Q14" s="3"/>
      <c r="R14" s="3"/>
      <c r="S14" s="3"/>
      <c r="T14" s="3"/>
      <c r="U14" s="3"/>
      <c r="V14" s="6" t="str">
        <f>IF(COUNTIF(C14:U14,"P")&gt;0,"Covered",IF(COUNTIF(C14:U14,"S")&gt;0,"Partial",IF(INDEX(Requirements!G:G,MATCH(A14,Requirements!A:A,0))="Inspection","Via Inspection",IF(INDEX(Requirements!G:G,MATCH(A14,Requirements!A:A,0))="Demonstration","Via Demonstration",IF(INDEX(Requirements!G:G,MATCH(A14,Requirements!A:A,0))="Analysis","Via Analysis","Gap")))))</f>
        <v>Partial</v>
      </c>
    </row>
    <row r="15" spans="1:22" x14ac:dyDescent="0.35">
      <c r="A15" s="3" t="s">
        <v>76</v>
      </c>
      <c r="B15" s="3" t="s">
        <v>77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" t="str">
        <f>IF(COUNTIF(C15:U15,"P")&gt;0,"Covered",IF(COUNTIF(C15:U15,"S")&gt;0,"Partial",IF(INDEX(Requirements!G:G,MATCH(A15,Requirements!A:A,0))="Inspection","Via Inspection",IF(INDEX(Requirements!G:G,MATCH(A15,Requirements!A:A,0))="Demonstration","Via Demonstration",IF(INDEX(Requirements!G:G,MATCH(A15,Requirements!A:A,0))="Analysis","Via Analysis","Gap")))))</f>
        <v>Via Demonstration</v>
      </c>
    </row>
    <row r="16" spans="1:22" ht="29" x14ac:dyDescent="0.35">
      <c r="A16" s="3" t="s">
        <v>82</v>
      </c>
      <c r="B16" s="3" t="s">
        <v>83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6" t="str">
        <f>IF(COUNTIF(C16:U16,"P")&gt;0,"Covered",IF(COUNTIF(C16:U16,"S")&gt;0,"Partial",IF(INDEX(Requirements!G:G,MATCH(A16,Requirements!A:A,0))="Inspection","Via Inspection",IF(INDEX(Requirements!G:G,MATCH(A16,Requirements!A:A,0))="Demonstration","Via Demonstration",IF(INDEX(Requirements!G:G,MATCH(A16,Requirements!A:A,0))="Analysis","Via Analysis","Gap")))))</f>
        <v>Via Analysis</v>
      </c>
    </row>
    <row r="17" spans="1:22" x14ac:dyDescent="0.35">
      <c r="A17" s="7"/>
      <c r="B17" s="7" t="s">
        <v>117</v>
      </c>
      <c r="C17" s="7" t="s">
        <v>118</v>
      </c>
      <c r="D17" s="7" t="s">
        <v>118</v>
      </c>
      <c r="E17" s="7" t="s">
        <v>58</v>
      </c>
      <c r="F17" s="7" t="s">
        <v>118</v>
      </c>
      <c r="G17" s="7" t="s">
        <v>10</v>
      </c>
      <c r="H17" s="7" t="s">
        <v>32</v>
      </c>
      <c r="I17" s="7" t="s">
        <v>119</v>
      </c>
      <c r="J17" s="7" t="s">
        <v>118</v>
      </c>
      <c r="K17" s="7" t="s">
        <v>32</v>
      </c>
      <c r="L17" s="7" t="s">
        <v>118</v>
      </c>
      <c r="M17" s="7" t="s">
        <v>70</v>
      </c>
      <c r="N17" s="7" t="s">
        <v>118</v>
      </c>
      <c r="O17" s="7" t="s">
        <v>118</v>
      </c>
      <c r="P17" s="7" t="s">
        <v>118</v>
      </c>
      <c r="Q17" s="7" t="s">
        <v>120</v>
      </c>
      <c r="R17" s="7" t="s">
        <v>32</v>
      </c>
      <c r="S17" s="7" t="s">
        <v>121</v>
      </c>
      <c r="T17" s="7" t="s">
        <v>10</v>
      </c>
      <c r="U17" s="7" t="s">
        <v>122</v>
      </c>
      <c r="V17" s="7"/>
    </row>
    <row r="19" spans="1:22" x14ac:dyDescent="0.35">
      <c r="A19" s="20" t="s">
        <v>329</v>
      </c>
    </row>
    <row r="20" spans="1:22" x14ac:dyDescent="0.35">
      <c r="A20" s="21" t="s">
        <v>114</v>
      </c>
      <c r="B20" t="s">
        <v>330</v>
      </c>
    </row>
    <row r="21" spans="1:22" x14ac:dyDescent="0.35">
      <c r="A21" s="22" t="s">
        <v>115</v>
      </c>
      <c r="B21" t="s">
        <v>331</v>
      </c>
    </row>
    <row r="22" spans="1:22" x14ac:dyDescent="0.35">
      <c r="A22" s="23"/>
      <c r="B22" t="s">
        <v>332</v>
      </c>
    </row>
    <row r="23" spans="1:22" x14ac:dyDescent="0.35">
      <c r="A23" s="24" t="s">
        <v>118</v>
      </c>
      <c r="B23" t="s">
        <v>333</v>
      </c>
    </row>
    <row r="25" spans="1:22" x14ac:dyDescent="0.35">
      <c r="A25" s="46" t="s">
        <v>363</v>
      </c>
    </row>
    <row r="26" spans="1:22" x14ac:dyDescent="0.35">
      <c r="A26" s="47" t="s">
        <v>360</v>
      </c>
      <c r="B26" s="45" t="s">
        <v>364</v>
      </c>
    </row>
    <row r="27" spans="1:22" x14ac:dyDescent="0.35">
      <c r="A27" s="48" t="s">
        <v>362</v>
      </c>
      <c r="B27" s="45" t="s">
        <v>365</v>
      </c>
    </row>
    <row r="28" spans="1:22" x14ac:dyDescent="0.35">
      <c r="A28" s="49" t="s">
        <v>361</v>
      </c>
      <c r="B28" s="45" t="s">
        <v>366</v>
      </c>
    </row>
  </sheetData>
  <conditionalFormatting sqref="V4:V16">
    <cfRule type="containsText" dxfId="14" priority="1" operator="containsText" text="Covered">
      <formula>NOT(ISERROR(SEARCH("Covered",V4)))</formula>
    </cfRule>
    <cfRule type="containsText" dxfId="13" priority="2" operator="containsText" text="Via">
      <formula>NOT(ISERROR(SEARCH("Via",V4)))</formula>
    </cfRule>
    <cfRule type="containsText" dxfId="12" priority="3" operator="containsText" text="Partial">
      <formula>NOT(ISERROR(SEARCH("Partial",V4)))</formula>
    </cfRule>
    <cfRule type="containsText" dxfId="11" priority="4" operator="containsText" text="Gap">
      <formula>NOT(ISERROR(SEARCH("Gap",V4)))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zoomScale="75" workbookViewId="0">
      <pane ySplit="1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2" width="35" customWidth="1"/>
    <col min="3" max="5" width="12" customWidth="1"/>
    <col min="6" max="7" width="30" customWidth="1"/>
    <col min="8" max="8" width="13" customWidth="1"/>
    <col min="9" max="9" width="15" customWidth="1"/>
    <col min="10" max="11" width="35" customWidth="1"/>
    <col min="12" max="12" width="14" customWidth="1"/>
    <col min="13" max="13" width="50" customWidth="1"/>
  </cols>
  <sheetData>
    <row r="1" spans="1:14" ht="29" x14ac:dyDescent="0.35">
      <c r="A1" s="1" t="s">
        <v>123</v>
      </c>
      <c r="B1" s="1" t="s">
        <v>124</v>
      </c>
      <c r="C1" s="16" t="s">
        <v>125</v>
      </c>
      <c r="D1" s="32" t="s">
        <v>354</v>
      </c>
      <c r="E1" s="29" t="s">
        <v>126</v>
      </c>
      <c r="F1" s="1" t="s">
        <v>127</v>
      </c>
      <c r="G1" s="1" t="s">
        <v>128</v>
      </c>
      <c r="H1" s="1" t="s">
        <v>7</v>
      </c>
      <c r="I1" s="1" t="s">
        <v>129</v>
      </c>
      <c r="J1" s="1" t="s">
        <v>130</v>
      </c>
      <c r="K1" s="1" t="s">
        <v>131</v>
      </c>
      <c r="L1" s="1" t="s">
        <v>132</v>
      </c>
      <c r="M1" s="16" t="s">
        <v>133</v>
      </c>
      <c r="N1" s="18" t="s">
        <v>328</v>
      </c>
    </row>
    <row r="2" spans="1:14" ht="29" x14ac:dyDescent="0.35">
      <c r="A2" s="2" t="s">
        <v>134</v>
      </c>
      <c r="B2" s="2" t="s">
        <v>135</v>
      </c>
      <c r="C2" s="17" t="s">
        <v>136</v>
      </c>
      <c r="D2" s="34" t="s">
        <v>355</v>
      </c>
      <c r="E2" s="31" t="s">
        <v>120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141</v>
      </c>
      <c r="K2" s="2" t="s">
        <v>142</v>
      </c>
      <c r="L2" s="2" t="s">
        <v>116</v>
      </c>
      <c r="M2" s="17" t="s">
        <v>143</v>
      </c>
      <c r="N2" s="19" t="str" cm="1">
        <f t="array" ref="N2">IF(E2="—","N/A",IF(SUMPRODUCT((LEN(E2)-LEN(SUBSTITUTE(E2,Requirements!A$2:A$14,"")))/LEN(Requirements!A$2:A$14))=LEN(E2)-LEN(SUBSTITUTE(E2,",",""))+1,"✓","✗ Check IDs"))</f>
        <v>✓</v>
      </c>
    </row>
    <row r="3" spans="1:14" ht="29" x14ac:dyDescent="0.35">
      <c r="A3" s="2" t="s">
        <v>144</v>
      </c>
      <c r="B3" s="2" t="s">
        <v>145</v>
      </c>
      <c r="C3" s="17" t="s">
        <v>136</v>
      </c>
      <c r="D3" s="34" t="s">
        <v>355</v>
      </c>
      <c r="E3" s="31" t="s">
        <v>119</v>
      </c>
      <c r="F3" s="2" t="s">
        <v>146</v>
      </c>
      <c r="G3" s="2" t="s">
        <v>147</v>
      </c>
      <c r="H3" s="2" t="s">
        <v>139</v>
      </c>
      <c r="I3" s="2" t="s">
        <v>140</v>
      </c>
      <c r="J3" s="2" t="s">
        <v>148</v>
      </c>
      <c r="K3" s="2" t="s">
        <v>149</v>
      </c>
      <c r="L3" s="2" t="s">
        <v>150</v>
      </c>
      <c r="M3" s="17" t="s">
        <v>151</v>
      </c>
      <c r="N3" s="19" t="str" cm="1">
        <f t="array" ref="N3">IF(E3="—","N/A",IF(SUMPRODUCT((LEN(E3)-LEN(SUBSTITUTE(E3,Requirements!A$2:A$14,"")))/LEN(Requirements!A$2:A$14))=LEN(E3)-LEN(SUBSTITUTE(E3,",",""))+1,"✓","✗ Check IDs"))</f>
        <v>✓</v>
      </c>
    </row>
    <row r="4" spans="1:14" ht="43.5" x14ac:dyDescent="0.35">
      <c r="A4" s="2" t="s">
        <v>152</v>
      </c>
      <c r="B4" s="2" t="s">
        <v>153</v>
      </c>
      <c r="C4" s="17" t="s">
        <v>136</v>
      </c>
      <c r="D4" s="34" t="s">
        <v>356</v>
      </c>
      <c r="E4" s="31" t="s">
        <v>121</v>
      </c>
      <c r="F4" s="2" t="s">
        <v>154</v>
      </c>
      <c r="G4" s="2" t="s">
        <v>147</v>
      </c>
      <c r="H4" s="2" t="s">
        <v>139</v>
      </c>
      <c r="I4" s="2" t="s">
        <v>140</v>
      </c>
      <c r="J4" s="2" t="s">
        <v>155</v>
      </c>
      <c r="K4" s="2" t="s">
        <v>156</v>
      </c>
      <c r="L4" s="2" t="s">
        <v>157</v>
      </c>
      <c r="M4" s="17" t="s">
        <v>158</v>
      </c>
      <c r="N4" s="19" t="str" cm="1">
        <f t="array" ref="N4">IF(E4="—","N/A",IF(SUMPRODUCT((LEN(E4)-LEN(SUBSTITUTE(E4,Requirements!A$2:A$14,"")))/LEN(Requirements!A$2:A$14))=LEN(E4)-LEN(SUBSTITUTE(E4,",",""))+1,"✓","✗ Check IDs"))</f>
        <v>✓</v>
      </c>
    </row>
    <row r="5" spans="1:14" ht="29" x14ac:dyDescent="0.35">
      <c r="A5" s="2" t="s">
        <v>159</v>
      </c>
      <c r="B5" s="2" t="s">
        <v>160</v>
      </c>
      <c r="C5" s="17" t="s">
        <v>136</v>
      </c>
      <c r="D5" s="34" t="s">
        <v>355</v>
      </c>
      <c r="E5" s="31" t="s">
        <v>10</v>
      </c>
      <c r="F5" s="2" t="s">
        <v>161</v>
      </c>
      <c r="G5" s="2" t="s">
        <v>152</v>
      </c>
      <c r="H5" s="2" t="s">
        <v>139</v>
      </c>
      <c r="I5" s="2" t="s">
        <v>140</v>
      </c>
      <c r="J5" s="2" t="s">
        <v>162</v>
      </c>
      <c r="K5" s="2" t="s">
        <v>163</v>
      </c>
      <c r="L5" s="2" t="s">
        <v>164</v>
      </c>
      <c r="M5" s="17" t="s">
        <v>165</v>
      </c>
      <c r="N5" s="19" t="str" cm="1">
        <f t="array" ref="N5">IF(E5="—","N/A",IF(SUMPRODUCT((LEN(E5)-LEN(SUBSTITUTE(E5,Requirements!A$2:A$14,"")))/LEN(Requirements!A$2:A$14))=LEN(E5)-LEN(SUBSTITUTE(E5,",",""))+1,"✓","✗ Check IDs"))</f>
        <v>✓</v>
      </c>
    </row>
    <row r="6" spans="1:14" ht="29" x14ac:dyDescent="0.35">
      <c r="A6" s="2" t="s">
        <v>166</v>
      </c>
      <c r="B6" s="2" t="s">
        <v>167</v>
      </c>
      <c r="C6" s="17" t="s">
        <v>136</v>
      </c>
      <c r="D6" s="34" t="s">
        <v>355</v>
      </c>
      <c r="E6" s="31" t="s">
        <v>168</v>
      </c>
      <c r="F6" s="2" t="s">
        <v>169</v>
      </c>
      <c r="G6" s="2" t="s">
        <v>147</v>
      </c>
      <c r="H6" s="2" t="s">
        <v>139</v>
      </c>
      <c r="I6" s="2" t="s">
        <v>140</v>
      </c>
      <c r="J6" s="2" t="s">
        <v>170</v>
      </c>
      <c r="K6" s="2" t="s">
        <v>171</v>
      </c>
      <c r="L6" s="2" t="s">
        <v>150</v>
      </c>
      <c r="M6" s="17" t="s">
        <v>172</v>
      </c>
      <c r="N6" s="19" t="str" cm="1">
        <f t="array" ref="N6">IF(E6="—","N/A",IF(SUMPRODUCT((LEN(E6)-LEN(SUBSTITUTE(E6,Requirements!A$2:A$14,"")))/LEN(Requirements!A$2:A$14))=LEN(E6)-LEN(SUBSTITUTE(E6,",",""))+1,"✓","✗ Check IDs"))</f>
        <v>✓</v>
      </c>
    </row>
    <row r="7" spans="1:14" ht="29" x14ac:dyDescent="0.35">
      <c r="A7" s="2" t="s">
        <v>173</v>
      </c>
      <c r="B7" s="2" t="s">
        <v>174</v>
      </c>
      <c r="C7" s="17" t="s">
        <v>175</v>
      </c>
      <c r="D7" s="34" t="s">
        <v>357</v>
      </c>
      <c r="E7" s="31" t="s">
        <v>119</v>
      </c>
      <c r="F7" s="2" t="s">
        <v>176</v>
      </c>
      <c r="G7" s="2" t="s">
        <v>177</v>
      </c>
      <c r="H7" s="2" t="s">
        <v>178</v>
      </c>
      <c r="I7" s="2"/>
      <c r="J7" s="2"/>
      <c r="K7" s="2" t="s">
        <v>179</v>
      </c>
      <c r="L7" s="2"/>
      <c r="M7" s="17" t="s">
        <v>180</v>
      </c>
      <c r="N7" s="19" t="str" cm="1">
        <f t="array" ref="N7">IF(E7="—","N/A",IF(SUMPRODUCT((LEN(E7)-LEN(SUBSTITUTE(E7,Requirements!A$2:A$14,"")))/LEN(Requirements!A$2:A$14))=LEN(E7)-LEN(SUBSTITUTE(E7,",",""))+1,"✓","✗ Check IDs"))</f>
        <v>✓</v>
      </c>
    </row>
    <row r="8" spans="1:14" ht="29" x14ac:dyDescent="0.35">
      <c r="A8" s="2" t="s">
        <v>181</v>
      </c>
      <c r="B8" s="2" t="s">
        <v>182</v>
      </c>
      <c r="C8" s="17" t="s">
        <v>175</v>
      </c>
      <c r="D8" s="34" t="s">
        <v>357</v>
      </c>
      <c r="E8" s="31" t="s">
        <v>183</v>
      </c>
      <c r="F8" s="2" t="s">
        <v>176</v>
      </c>
      <c r="G8" s="2" t="s">
        <v>177</v>
      </c>
      <c r="H8" s="2" t="s">
        <v>178</v>
      </c>
      <c r="I8" s="2"/>
      <c r="J8" s="2"/>
      <c r="K8" s="2" t="s">
        <v>184</v>
      </c>
      <c r="L8" s="2"/>
      <c r="M8" s="17" t="s">
        <v>185</v>
      </c>
      <c r="N8" s="19" t="str" cm="1">
        <f t="array" ref="N8">IF(E8="—","N/A",IF(SUMPRODUCT((LEN(E8)-LEN(SUBSTITUTE(E8,Requirements!A$2:A$14,"")))/LEN(Requirements!A$2:A$14))=LEN(E8)-LEN(SUBSTITUTE(E8,",",""))+1,"✓","✗ Check IDs"))</f>
        <v>N/A</v>
      </c>
    </row>
    <row r="9" spans="1:14" ht="29" x14ac:dyDescent="0.35">
      <c r="A9" s="2" t="s">
        <v>186</v>
      </c>
      <c r="B9" s="2" t="s">
        <v>187</v>
      </c>
      <c r="C9" s="17" t="s">
        <v>175</v>
      </c>
      <c r="D9" s="34" t="s">
        <v>357</v>
      </c>
      <c r="E9" s="31" t="s">
        <v>32</v>
      </c>
      <c r="F9" s="2" t="s">
        <v>176</v>
      </c>
      <c r="G9" s="2" t="s">
        <v>177</v>
      </c>
      <c r="H9" s="2" t="s">
        <v>178</v>
      </c>
      <c r="I9" s="2"/>
      <c r="J9" s="2"/>
      <c r="K9" s="2" t="s">
        <v>188</v>
      </c>
      <c r="L9" s="2"/>
      <c r="M9" s="17" t="s">
        <v>189</v>
      </c>
      <c r="N9" s="19" t="str" cm="1">
        <f t="array" ref="N9">IF(E9="—","N/A",IF(SUMPRODUCT((LEN(E9)-LEN(SUBSTITUTE(E9,Requirements!A$2:A$14,"")))/LEN(Requirements!A$2:A$14))=LEN(E9)-LEN(SUBSTITUTE(E9,",",""))+1,"✓","✗ Check IDs"))</f>
        <v>✓</v>
      </c>
    </row>
    <row r="10" spans="1:14" ht="29" x14ac:dyDescent="0.35">
      <c r="A10" s="2" t="s">
        <v>190</v>
      </c>
      <c r="B10" s="2" t="s">
        <v>191</v>
      </c>
      <c r="C10" s="17" t="s">
        <v>192</v>
      </c>
      <c r="D10" s="34" t="s">
        <v>356</v>
      </c>
      <c r="E10" s="31" t="s">
        <v>183</v>
      </c>
      <c r="F10" s="2" t="s">
        <v>193</v>
      </c>
      <c r="G10" s="2" t="s">
        <v>194</v>
      </c>
      <c r="H10" s="2" t="s">
        <v>178</v>
      </c>
      <c r="I10" s="2"/>
      <c r="J10" s="2"/>
      <c r="K10" s="2" t="s">
        <v>195</v>
      </c>
      <c r="L10" s="2"/>
      <c r="M10" s="17" t="s">
        <v>196</v>
      </c>
      <c r="N10" s="19" t="str" cm="1">
        <f t="array" ref="N10">IF(E10="—","N/A",IF(SUMPRODUCT((LEN(E10)-LEN(SUBSTITUTE(E10,Requirements!A$2:A$14,"")))/LEN(Requirements!A$2:A$14))=LEN(E10)-LEN(SUBSTITUTE(E10,",",""))+1,"✓","✗ Check IDs"))</f>
        <v>N/A</v>
      </c>
    </row>
    <row r="11" spans="1:14" ht="29" x14ac:dyDescent="0.35">
      <c r="A11" s="2" t="s">
        <v>197</v>
      </c>
      <c r="B11" s="2" t="s">
        <v>198</v>
      </c>
      <c r="C11" s="17" t="s">
        <v>192</v>
      </c>
      <c r="D11" s="34" t="s">
        <v>356</v>
      </c>
      <c r="E11" s="31" t="s">
        <v>183</v>
      </c>
      <c r="F11" s="2" t="s">
        <v>193</v>
      </c>
      <c r="G11" s="2" t="s">
        <v>199</v>
      </c>
      <c r="H11" s="2" t="s">
        <v>178</v>
      </c>
      <c r="I11" s="2"/>
      <c r="J11" s="2"/>
      <c r="K11" s="2" t="s">
        <v>200</v>
      </c>
      <c r="L11" s="2"/>
      <c r="M11" s="17" t="s">
        <v>201</v>
      </c>
      <c r="N11" s="19" t="str" cm="1">
        <f t="array" ref="N11">IF(E11="—","N/A",IF(SUMPRODUCT((LEN(E11)-LEN(SUBSTITUTE(E11,Requirements!A$2:A$14,"")))/LEN(Requirements!A$2:A$14))=LEN(E11)-LEN(SUBSTITUTE(E11,",",""))+1,"✓","✗ Check IDs"))</f>
        <v>N/A</v>
      </c>
    </row>
    <row r="12" spans="1:14" ht="29" x14ac:dyDescent="0.35">
      <c r="A12" s="2" t="s">
        <v>202</v>
      </c>
      <c r="B12" s="2" t="s">
        <v>203</v>
      </c>
      <c r="C12" s="17" t="s">
        <v>192</v>
      </c>
      <c r="D12" s="34" t="s">
        <v>356</v>
      </c>
      <c r="E12" s="31" t="s">
        <v>183</v>
      </c>
      <c r="F12" s="2" t="s">
        <v>193</v>
      </c>
      <c r="G12" s="2" t="s">
        <v>199</v>
      </c>
      <c r="H12" s="2" t="s">
        <v>178</v>
      </c>
      <c r="I12" s="2"/>
      <c r="J12" s="2"/>
      <c r="K12" s="2" t="s">
        <v>204</v>
      </c>
      <c r="L12" s="2"/>
      <c r="M12" s="17" t="s">
        <v>205</v>
      </c>
      <c r="N12" s="19" t="str" cm="1">
        <f t="array" ref="N12">IF(E12="—","N/A",IF(SUMPRODUCT((LEN(E12)-LEN(SUBSTITUTE(E12,Requirements!A$2:A$14,"")))/LEN(Requirements!A$2:A$14))=LEN(E12)-LEN(SUBSTITUTE(E12,",",""))+1,"✓","✗ Check IDs"))</f>
        <v>N/A</v>
      </c>
    </row>
    <row r="13" spans="1:14" ht="29" x14ac:dyDescent="0.35">
      <c r="A13" s="2" t="s">
        <v>17</v>
      </c>
      <c r="B13" s="2" t="s">
        <v>206</v>
      </c>
      <c r="C13" s="17" t="s">
        <v>207</v>
      </c>
      <c r="D13" s="34" t="s">
        <v>357</v>
      </c>
      <c r="E13" s="31" t="s">
        <v>10</v>
      </c>
      <c r="F13" s="2" t="s">
        <v>208</v>
      </c>
      <c r="G13" s="2" t="s">
        <v>209</v>
      </c>
      <c r="H13" s="2" t="s">
        <v>178</v>
      </c>
      <c r="I13" s="2"/>
      <c r="J13" s="2"/>
      <c r="K13" s="2" t="s">
        <v>210</v>
      </c>
      <c r="L13" s="2"/>
      <c r="M13" s="17" t="s">
        <v>211</v>
      </c>
      <c r="N13" s="19" t="str" cm="1">
        <f t="array" ref="N13">IF(E13="—","N/A",IF(SUMPRODUCT((LEN(E13)-LEN(SUBSTITUTE(E13,Requirements!A$2:A$14,"")))/LEN(Requirements!A$2:A$14))=LEN(E13)-LEN(SUBSTITUTE(E13,",",""))+1,"✓","✗ Check IDs"))</f>
        <v>✓</v>
      </c>
    </row>
    <row r="14" spans="1:14" ht="29" x14ac:dyDescent="0.35">
      <c r="A14" s="2" t="s">
        <v>212</v>
      </c>
      <c r="B14" s="2" t="s">
        <v>213</v>
      </c>
      <c r="C14" s="17" t="s">
        <v>207</v>
      </c>
      <c r="D14" s="34" t="s">
        <v>357</v>
      </c>
      <c r="E14" s="31" t="s">
        <v>32</v>
      </c>
      <c r="F14" s="2" t="s">
        <v>208</v>
      </c>
      <c r="G14" s="2" t="s">
        <v>214</v>
      </c>
      <c r="H14" s="2" t="s">
        <v>178</v>
      </c>
      <c r="I14" s="2"/>
      <c r="J14" s="2"/>
      <c r="K14" s="2" t="s">
        <v>215</v>
      </c>
      <c r="L14" s="2"/>
      <c r="M14" s="17" t="s">
        <v>216</v>
      </c>
      <c r="N14" s="19" t="str" cm="1">
        <f t="array" ref="N14">IF(E14="—","N/A",IF(SUMPRODUCT((LEN(E14)-LEN(SUBSTITUTE(E14,Requirements!A$2:A$14,"")))/LEN(Requirements!A$2:A$14))=LEN(E14)-LEN(SUBSTITUTE(E14,",",""))+1,"✓","✗ Check IDs"))</f>
        <v>✓</v>
      </c>
    </row>
    <row r="15" spans="1:14" ht="29" x14ac:dyDescent="0.35">
      <c r="A15" s="2" t="s">
        <v>217</v>
      </c>
      <c r="B15" s="2" t="s">
        <v>218</v>
      </c>
      <c r="C15" s="17" t="s">
        <v>192</v>
      </c>
      <c r="D15" s="34" t="s">
        <v>356</v>
      </c>
      <c r="E15" s="31" t="s">
        <v>183</v>
      </c>
      <c r="F15" s="2" t="s">
        <v>193</v>
      </c>
      <c r="G15" s="2" t="s">
        <v>199</v>
      </c>
      <c r="H15" s="2" t="s">
        <v>178</v>
      </c>
      <c r="I15" s="2"/>
      <c r="J15" s="2"/>
      <c r="K15" s="2" t="s">
        <v>219</v>
      </c>
      <c r="L15" s="2"/>
      <c r="M15" s="17" t="s">
        <v>220</v>
      </c>
      <c r="N15" s="19" t="str" cm="1">
        <f t="array" ref="N15">IF(E15="—","N/A",IF(SUMPRODUCT((LEN(E15)-LEN(SUBSTITUTE(E15,Requirements!A$2:A$14,"")))/LEN(Requirements!A$2:A$14))=LEN(E15)-LEN(SUBSTITUTE(E15,",",""))+1,"✓","✗ Check IDs"))</f>
        <v>N/A</v>
      </c>
    </row>
    <row r="16" spans="1:14" ht="29" x14ac:dyDescent="0.35">
      <c r="A16" s="2" t="s">
        <v>221</v>
      </c>
      <c r="B16" s="2" t="s">
        <v>222</v>
      </c>
      <c r="C16" s="17" t="s">
        <v>223</v>
      </c>
      <c r="D16" s="34" t="s">
        <v>357</v>
      </c>
      <c r="E16" s="31" t="s">
        <v>183</v>
      </c>
      <c r="F16" s="2" t="s">
        <v>224</v>
      </c>
      <c r="G16" s="2" t="s">
        <v>225</v>
      </c>
      <c r="H16" s="2" t="s">
        <v>178</v>
      </c>
      <c r="I16" s="2"/>
      <c r="J16" s="2"/>
      <c r="K16" s="2" t="s">
        <v>226</v>
      </c>
      <c r="L16" s="2"/>
      <c r="M16" s="17" t="s">
        <v>227</v>
      </c>
      <c r="N16" s="19" t="str" cm="1">
        <f t="array" ref="N16">IF(E16="—","N/A",IF(SUMPRODUCT((LEN(E16)-LEN(SUBSTITUTE(E16,Requirements!A$2:A$14,"")))/LEN(Requirements!A$2:A$14))=LEN(E16)-LEN(SUBSTITUTE(E16,",",""))+1,"✓","✗ Check IDs"))</f>
        <v>N/A</v>
      </c>
    </row>
    <row r="17" spans="1:14" ht="29" x14ac:dyDescent="0.35">
      <c r="A17" s="2" t="s">
        <v>228</v>
      </c>
      <c r="B17" s="2" t="s">
        <v>229</v>
      </c>
      <c r="C17" s="17" t="s">
        <v>223</v>
      </c>
      <c r="D17" s="34" t="s">
        <v>357</v>
      </c>
      <c r="E17" s="31" t="s">
        <v>183</v>
      </c>
      <c r="F17" s="2" t="s">
        <v>224</v>
      </c>
      <c r="G17" s="2" t="s">
        <v>230</v>
      </c>
      <c r="H17" s="2" t="s">
        <v>178</v>
      </c>
      <c r="I17" s="2"/>
      <c r="J17" s="2"/>
      <c r="K17" s="2" t="s">
        <v>231</v>
      </c>
      <c r="L17" s="2"/>
      <c r="M17" s="17" t="s">
        <v>232</v>
      </c>
      <c r="N17" s="19" t="str" cm="1">
        <f t="array" ref="N17">IF(E17="—","N/A",IF(SUMPRODUCT((LEN(E17)-LEN(SUBSTITUTE(E17,Requirements!A$2:A$14,"")))/LEN(Requirements!A$2:A$14))=LEN(E17)-LEN(SUBSTITUTE(E17,",",""))+1,"✓","✗ Check IDs"))</f>
        <v>N/A</v>
      </c>
    </row>
    <row r="18" spans="1:14" ht="29" x14ac:dyDescent="0.35">
      <c r="A18" s="2" t="s">
        <v>233</v>
      </c>
      <c r="B18" s="2" t="s">
        <v>234</v>
      </c>
      <c r="C18" s="17" t="s">
        <v>235</v>
      </c>
      <c r="D18" s="34" t="s">
        <v>357</v>
      </c>
      <c r="E18" s="31" t="s">
        <v>183</v>
      </c>
      <c r="F18" s="2" t="s">
        <v>236</v>
      </c>
      <c r="G18" s="2" t="s">
        <v>237</v>
      </c>
      <c r="H18" s="2" t="s">
        <v>178</v>
      </c>
      <c r="I18" s="2"/>
      <c r="J18" s="2"/>
      <c r="K18" s="2" t="s">
        <v>238</v>
      </c>
      <c r="L18" s="2"/>
      <c r="M18" s="17" t="s">
        <v>239</v>
      </c>
      <c r="N18" s="19" t="str" cm="1">
        <f t="array" ref="N18">IF(E18="—","N/A",IF(SUMPRODUCT((LEN(E18)-LEN(SUBSTITUTE(E18,Requirements!A$2:A$14,"")))/LEN(Requirements!A$2:A$14))=LEN(E18)-LEN(SUBSTITUTE(E18,",",""))+1,"✓","✗ Check IDs"))</f>
        <v>N/A</v>
      </c>
    </row>
    <row r="19" spans="1:14" ht="29" x14ac:dyDescent="0.35">
      <c r="A19" s="2" t="s">
        <v>240</v>
      </c>
      <c r="B19" s="2" t="s">
        <v>241</v>
      </c>
      <c r="C19" s="17" t="s">
        <v>235</v>
      </c>
      <c r="D19" s="34" t="s">
        <v>357</v>
      </c>
      <c r="E19" s="31" t="s">
        <v>183</v>
      </c>
      <c r="F19" s="2" t="s">
        <v>236</v>
      </c>
      <c r="G19" s="2" t="s">
        <v>233</v>
      </c>
      <c r="H19" s="2" t="s">
        <v>178</v>
      </c>
      <c r="I19" s="2"/>
      <c r="J19" s="2"/>
      <c r="K19" s="2" t="s">
        <v>242</v>
      </c>
      <c r="L19" s="2"/>
      <c r="M19" s="17" t="s">
        <v>243</v>
      </c>
      <c r="N19" s="19" t="str" cm="1">
        <f t="array" ref="N19">IF(E19="—","N/A",IF(SUMPRODUCT((LEN(E19)-LEN(SUBSTITUTE(E19,Requirements!A$2:A$14,"")))/LEN(Requirements!A$2:A$14))=LEN(E19)-LEN(SUBSTITUTE(E19,",",""))+1,"✓","✗ Check IDs"))</f>
        <v>N/A</v>
      </c>
    </row>
    <row r="20" spans="1:14" ht="29" x14ac:dyDescent="0.35">
      <c r="A20" s="2" t="s">
        <v>244</v>
      </c>
      <c r="B20" s="2" t="s">
        <v>245</v>
      </c>
      <c r="C20" s="17" t="s">
        <v>235</v>
      </c>
      <c r="D20" s="33" t="s">
        <v>357</v>
      </c>
      <c r="E20" s="31" t="s">
        <v>183</v>
      </c>
      <c r="F20" s="2" t="s">
        <v>236</v>
      </c>
      <c r="G20" s="2" t="s">
        <v>240</v>
      </c>
      <c r="H20" s="2" t="s">
        <v>178</v>
      </c>
      <c r="I20" s="2"/>
      <c r="J20" s="2"/>
      <c r="K20" s="2" t="s">
        <v>246</v>
      </c>
      <c r="L20" s="2"/>
      <c r="M20" s="17" t="s">
        <v>247</v>
      </c>
      <c r="N20" s="19" t="str" cm="1">
        <f t="array" ref="N20">IF(E20="—","N/A",IF(SUMPRODUCT((LEN(E20)-LEN(SUBSTITUTE(E20,Requirements!A$2:A$14,"")))/LEN(Requirements!A$2:A$14))=LEN(E20)-LEN(SUBSTITUTE(E20,",",""))+1,"✓","✗ Check IDs"))</f>
        <v>N/A</v>
      </c>
    </row>
  </sheetData>
  <conditionalFormatting sqref="H2:H50">
    <cfRule type="cellIs" dxfId="10" priority="1" operator="equal">
      <formula>"Complete"</formula>
    </cfRule>
    <cfRule type="cellIs" dxfId="9" priority="2" operator="equal">
      <formula>"In Progress"</formula>
    </cfRule>
    <cfRule type="cellIs" dxfId="8" priority="3" operator="equal">
      <formula>"Blocked"</formula>
    </cfRule>
    <cfRule type="cellIs" dxfId="7" priority="4" operator="equal">
      <formula>"Not Started"</formula>
    </cfRule>
  </conditionalFormatting>
  <conditionalFormatting sqref="L2:L50">
    <cfRule type="cellIs" dxfId="6" priority="5" operator="equal">
      <formula>"Pass"</formula>
    </cfRule>
    <cfRule type="cellIs" dxfId="5" priority="6" operator="equal">
      <formula>"Fail"</formula>
    </cfRule>
    <cfRule type="cellIs" dxfId="4" priority="7" operator="equal">
      <formula>"Inconclusive"</formula>
    </cfRule>
  </conditionalFormatting>
  <dataValidations count="3">
    <dataValidation type="list" allowBlank="1" showInputMessage="1" showErrorMessage="1" sqref="H2:H50" xr:uid="{45303302-3F2E-4440-8502-80A50154BEE1}">
      <formula1>"Not Started, In Progress, Complete"</formula1>
    </dataValidation>
    <dataValidation type="list" allowBlank="1" showInputMessage="1" showErrorMessage="1" sqref="L2:L50" xr:uid="{B7DDCC2D-D89F-446A-BEF2-49ABD9BC055D}">
      <formula1>"Pass, Fail, Partial, Inconclusive, N/A"</formula1>
    </dataValidation>
    <dataValidation type="list" allowBlank="1" showInputMessage="1" showErrorMessage="1" sqref="D21:D100 D2:D20" xr:uid="{6E9DDD7E-D547-4824-9A62-1B05A5613780}">
      <formula1>"Component,Interface,Subsystem,System"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 activeCell="F23" sqref="F23"/>
    </sheetView>
  </sheetViews>
  <sheetFormatPr defaultRowHeight="14.5" x14ac:dyDescent="0.35"/>
  <cols>
    <col min="1" max="1" width="12" customWidth="1"/>
    <col min="2" max="2" width="50" customWidth="1"/>
    <col min="3" max="3" width="14" customWidth="1"/>
    <col min="4" max="4" width="20" customWidth="1"/>
    <col min="5" max="5" width="23" customWidth="1"/>
    <col min="6" max="6" width="21" customWidth="1"/>
    <col min="7" max="7" width="55" customWidth="1"/>
    <col min="8" max="8" width="15" customWidth="1"/>
  </cols>
  <sheetData>
    <row r="1" spans="1:8" x14ac:dyDescent="0.35">
      <c r="A1" s="1" t="s">
        <v>248</v>
      </c>
      <c r="B1" s="1" t="s">
        <v>2</v>
      </c>
      <c r="C1" s="1" t="s">
        <v>249</v>
      </c>
      <c r="D1" s="1" t="s">
        <v>250</v>
      </c>
      <c r="E1" s="1" t="s">
        <v>7</v>
      </c>
      <c r="F1" s="1" t="s">
        <v>251</v>
      </c>
      <c r="G1" s="1" t="s">
        <v>252</v>
      </c>
      <c r="H1" s="1" t="s">
        <v>253</v>
      </c>
    </row>
    <row r="2" spans="1:8" ht="29" x14ac:dyDescent="0.35">
      <c r="A2" s="2" t="s">
        <v>254</v>
      </c>
      <c r="B2" s="2" t="s">
        <v>255</v>
      </c>
      <c r="C2" s="2" t="s">
        <v>256</v>
      </c>
      <c r="D2" s="2" t="s">
        <v>257</v>
      </c>
      <c r="E2" s="2" t="s">
        <v>258</v>
      </c>
      <c r="F2" s="2" t="s">
        <v>134</v>
      </c>
      <c r="G2" s="2" t="s">
        <v>259</v>
      </c>
      <c r="H2" s="2"/>
    </row>
    <row r="3" spans="1:8" x14ac:dyDescent="0.35">
      <c r="A3" s="2" t="s">
        <v>260</v>
      </c>
      <c r="B3" s="2" t="s">
        <v>261</v>
      </c>
      <c r="C3" s="2" t="s">
        <v>183</v>
      </c>
      <c r="D3" s="2" t="s">
        <v>183</v>
      </c>
      <c r="E3" s="2" t="s">
        <v>262</v>
      </c>
      <c r="F3" s="2"/>
      <c r="G3" s="2"/>
      <c r="H3" s="2"/>
    </row>
    <row r="4" spans="1:8" ht="29" x14ac:dyDescent="0.35">
      <c r="A4" s="2" t="s">
        <v>263</v>
      </c>
      <c r="B4" s="2" t="s">
        <v>264</v>
      </c>
      <c r="C4" s="2" t="s">
        <v>256</v>
      </c>
      <c r="D4" s="2" t="s">
        <v>257</v>
      </c>
      <c r="E4" s="2" t="s">
        <v>265</v>
      </c>
      <c r="F4" s="2" t="s">
        <v>144</v>
      </c>
      <c r="G4" s="2" t="s">
        <v>266</v>
      </c>
      <c r="H4" s="2" t="s">
        <v>140</v>
      </c>
    </row>
    <row r="5" spans="1:8" ht="29" x14ac:dyDescent="0.35">
      <c r="A5" s="2" t="s">
        <v>267</v>
      </c>
      <c r="B5" s="2" t="s">
        <v>268</v>
      </c>
      <c r="C5" s="2" t="s">
        <v>269</v>
      </c>
      <c r="D5" s="2" t="s">
        <v>257</v>
      </c>
      <c r="E5" s="2" t="s">
        <v>270</v>
      </c>
      <c r="F5" s="2" t="s">
        <v>271</v>
      </c>
      <c r="G5" s="2" t="s">
        <v>272</v>
      </c>
      <c r="H5" s="2" t="s">
        <v>140</v>
      </c>
    </row>
    <row r="6" spans="1:8" ht="29" x14ac:dyDescent="0.35">
      <c r="A6" s="2" t="s">
        <v>273</v>
      </c>
      <c r="B6" s="2" t="s">
        <v>274</v>
      </c>
      <c r="C6" s="2" t="s">
        <v>256</v>
      </c>
      <c r="D6" s="2" t="s">
        <v>275</v>
      </c>
      <c r="E6" s="2" t="s">
        <v>276</v>
      </c>
      <c r="F6" s="2" t="s">
        <v>159</v>
      </c>
      <c r="G6" s="2" t="s">
        <v>277</v>
      </c>
      <c r="H6" s="2" t="s">
        <v>140</v>
      </c>
    </row>
    <row r="7" spans="1:8" x14ac:dyDescent="0.35">
      <c r="A7" s="2" t="s">
        <v>278</v>
      </c>
      <c r="B7" s="2" t="s">
        <v>279</v>
      </c>
      <c r="C7" s="2" t="s">
        <v>269</v>
      </c>
      <c r="D7" s="2" t="s">
        <v>280</v>
      </c>
      <c r="E7" s="2" t="s">
        <v>178</v>
      </c>
      <c r="F7" s="2"/>
      <c r="G7" s="2"/>
      <c r="H7" s="2"/>
    </row>
    <row r="8" spans="1:8" ht="29" x14ac:dyDescent="0.35">
      <c r="A8" s="2" t="s">
        <v>281</v>
      </c>
      <c r="B8" s="2" t="s">
        <v>282</v>
      </c>
      <c r="C8" s="2" t="s">
        <v>269</v>
      </c>
      <c r="D8" s="2" t="s">
        <v>283</v>
      </c>
      <c r="E8" s="2" t="s">
        <v>284</v>
      </c>
      <c r="F8" s="2"/>
      <c r="G8" s="2" t="s">
        <v>285</v>
      </c>
      <c r="H8" s="2"/>
    </row>
    <row r="9" spans="1:8" x14ac:dyDescent="0.35">
      <c r="A9" s="2" t="s">
        <v>286</v>
      </c>
      <c r="B9" s="2" t="s">
        <v>287</v>
      </c>
      <c r="C9" s="2" t="s">
        <v>288</v>
      </c>
      <c r="D9" s="2" t="s">
        <v>280</v>
      </c>
      <c r="E9" s="2" t="s">
        <v>178</v>
      </c>
      <c r="F9" s="2" t="s">
        <v>17</v>
      </c>
      <c r="G9" s="2"/>
      <c r="H9" s="2"/>
    </row>
    <row r="10" spans="1:8" x14ac:dyDescent="0.35">
      <c r="A10" s="2" t="s">
        <v>289</v>
      </c>
      <c r="B10" s="2" t="s">
        <v>290</v>
      </c>
      <c r="C10" s="2" t="s">
        <v>288</v>
      </c>
      <c r="D10" s="2" t="s">
        <v>280</v>
      </c>
      <c r="E10" s="2" t="s">
        <v>178</v>
      </c>
      <c r="F10" s="2" t="s">
        <v>291</v>
      </c>
      <c r="G10" s="2"/>
      <c r="H10" s="2"/>
    </row>
    <row r="11" spans="1:8" x14ac:dyDescent="0.35">
      <c r="A11" s="2" t="s">
        <v>292</v>
      </c>
      <c r="B11" s="2" t="s">
        <v>293</v>
      </c>
      <c r="C11" s="2" t="s">
        <v>294</v>
      </c>
      <c r="D11" s="2" t="s">
        <v>280</v>
      </c>
      <c r="E11" s="2" t="s">
        <v>178</v>
      </c>
      <c r="F11" s="2"/>
      <c r="G11" s="2"/>
      <c r="H11" s="2"/>
    </row>
  </sheetData>
  <conditionalFormatting sqref="E2:E50">
    <cfRule type="cellIs" dxfId="3" priority="1" operator="equal">
      <formula>"Resolved"</formula>
    </cfRule>
    <cfRule type="cellIs" dxfId="2" priority="2" operator="equal">
      <formula>"Not Started"</formula>
    </cfRule>
    <cfRule type="cellIs" dxfId="1" priority="3" operator="equal">
      <formula>"Confirmed"</formula>
    </cfRule>
    <cfRule type="cellIs" dxfId="0" priority="4" operator="equal">
      <formula>"Root cause identified"</formula>
    </cfRule>
  </conditionalFormatting>
  <dataValidations count="3">
    <dataValidation type="list" allowBlank="1" errorTitle="Invalid entry" error="Pick from the list" sqref="C2:C50" xr:uid="{00000000-0002-0000-0300-000000000000}">
      <formula1>"Assembly/fit,Structural,Performance,Degradation,—"</formula1>
    </dataValidation>
    <dataValidation type="list" allowBlank="1" showInputMessage="1" showErrorMessage="1" sqref="E2:E50" xr:uid="{E9651808-A1C0-4B29-958F-CF60501B11FB}">
      <formula1>"Not Started, In Progress, Postponed, Confirmed, Resolved, Merged, Known Issue"</formula1>
    </dataValidation>
    <dataValidation type="list" allowBlank="1" showInputMessage="1" showErrorMessage="1" sqref="D2:D50" xr:uid="{CB81594D-18FB-4BAB-94C9-CD2E66E582DA}">
      <formula1>"Test first, After fundamentals, Verify early, Monitor/skip"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4" customWidth="1"/>
    <col min="4" max="4" width="22" customWidth="1"/>
    <col min="5" max="5" width="19" customWidth="1"/>
    <col min="6" max="6" width="35" customWidth="1"/>
    <col min="7" max="7" width="26" customWidth="1"/>
    <col min="8" max="8" width="40" customWidth="1"/>
  </cols>
  <sheetData>
    <row r="1" spans="1:8" x14ac:dyDescent="0.35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9</v>
      </c>
    </row>
    <row r="2" spans="1:8" ht="29" x14ac:dyDescent="0.35">
      <c r="A2" s="25"/>
      <c r="B2" s="25">
        <v>1</v>
      </c>
      <c r="C2" s="25"/>
      <c r="D2" s="25"/>
      <c r="E2" s="25"/>
      <c r="F2" s="25"/>
      <c r="G2" s="25">
        <v>0</v>
      </c>
      <c r="H2" s="25" t="s">
        <v>302</v>
      </c>
    </row>
    <row r="3" spans="1:8" x14ac:dyDescent="0.35">
      <c r="B3" s="26" t="str">
        <f>IF(A3&lt;&gt;"",B2+1,"")</f>
        <v/>
      </c>
    </row>
    <row r="4" spans="1:8" x14ac:dyDescent="0.35">
      <c r="B4" s="26" t="str">
        <f t="shared" ref="B4:B50" si="0">IF(A4&lt;&gt;"",B3+1,"")</f>
        <v/>
      </c>
    </row>
    <row r="5" spans="1:8" x14ac:dyDescent="0.35">
      <c r="B5" s="26" t="str">
        <f t="shared" si="0"/>
        <v/>
      </c>
    </row>
    <row r="6" spans="1:8" x14ac:dyDescent="0.35">
      <c r="B6" s="26" t="str">
        <f t="shared" si="0"/>
        <v/>
      </c>
    </row>
    <row r="7" spans="1:8" x14ac:dyDescent="0.35">
      <c r="B7" s="26" t="str">
        <f t="shared" si="0"/>
        <v/>
      </c>
    </row>
    <row r="8" spans="1:8" x14ac:dyDescent="0.35">
      <c r="B8" s="26" t="str">
        <f t="shared" si="0"/>
        <v/>
      </c>
    </row>
    <row r="9" spans="1:8" x14ac:dyDescent="0.35">
      <c r="B9" s="26" t="str">
        <f t="shared" si="0"/>
        <v/>
      </c>
    </row>
    <row r="10" spans="1:8" x14ac:dyDescent="0.35">
      <c r="B10" s="26" t="str">
        <f t="shared" si="0"/>
        <v/>
      </c>
    </row>
    <row r="11" spans="1:8" x14ac:dyDescent="0.35">
      <c r="B11" s="26" t="str">
        <f t="shared" si="0"/>
        <v/>
      </c>
    </row>
    <row r="12" spans="1:8" x14ac:dyDescent="0.35">
      <c r="B12" s="26" t="str">
        <f t="shared" si="0"/>
        <v/>
      </c>
    </row>
    <row r="13" spans="1:8" x14ac:dyDescent="0.35">
      <c r="B13" s="26" t="str">
        <f t="shared" si="0"/>
        <v/>
      </c>
    </row>
    <row r="14" spans="1:8" x14ac:dyDescent="0.35">
      <c r="B14" s="26" t="str">
        <f t="shared" si="0"/>
        <v/>
      </c>
    </row>
    <row r="15" spans="1:8" x14ac:dyDescent="0.35">
      <c r="B15" s="26" t="str">
        <f t="shared" si="0"/>
        <v/>
      </c>
    </row>
    <row r="16" spans="1:8" x14ac:dyDescent="0.35">
      <c r="B16" s="26" t="str">
        <f t="shared" si="0"/>
        <v/>
      </c>
    </row>
    <row r="17" spans="2:2" x14ac:dyDescent="0.35">
      <c r="B17" s="26" t="str">
        <f t="shared" si="0"/>
        <v/>
      </c>
    </row>
    <row r="18" spans="2:2" x14ac:dyDescent="0.35">
      <c r="B18" s="26" t="str">
        <f t="shared" si="0"/>
        <v/>
      </c>
    </row>
    <row r="19" spans="2:2" x14ac:dyDescent="0.35">
      <c r="B19" s="26" t="str">
        <f t="shared" si="0"/>
        <v/>
      </c>
    </row>
    <row r="20" spans="2:2" x14ac:dyDescent="0.35">
      <c r="B20" s="26" t="str">
        <f t="shared" si="0"/>
        <v/>
      </c>
    </row>
    <row r="21" spans="2:2" x14ac:dyDescent="0.35">
      <c r="B21" s="26" t="str">
        <f t="shared" si="0"/>
        <v/>
      </c>
    </row>
    <row r="22" spans="2:2" x14ac:dyDescent="0.35">
      <c r="B22" s="26" t="str">
        <f t="shared" si="0"/>
        <v/>
      </c>
    </row>
    <row r="23" spans="2:2" x14ac:dyDescent="0.35">
      <c r="B23" s="26" t="str">
        <f t="shared" si="0"/>
        <v/>
      </c>
    </row>
    <row r="24" spans="2:2" x14ac:dyDescent="0.35">
      <c r="B24" s="26" t="str">
        <f t="shared" si="0"/>
        <v/>
      </c>
    </row>
    <row r="25" spans="2:2" x14ac:dyDescent="0.35">
      <c r="B25" s="26" t="str">
        <f t="shared" si="0"/>
        <v/>
      </c>
    </row>
    <row r="26" spans="2:2" x14ac:dyDescent="0.35">
      <c r="B26" s="26" t="str">
        <f t="shared" si="0"/>
        <v/>
      </c>
    </row>
    <row r="27" spans="2:2" x14ac:dyDescent="0.35">
      <c r="B27" s="26" t="str">
        <f t="shared" si="0"/>
        <v/>
      </c>
    </row>
    <row r="28" spans="2:2" x14ac:dyDescent="0.35">
      <c r="B28" s="26" t="str">
        <f t="shared" si="0"/>
        <v/>
      </c>
    </row>
    <row r="29" spans="2:2" x14ac:dyDescent="0.35">
      <c r="B29" s="26" t="str">
        <f t="shared" si="0"/>
        <v/>
      </c>
    </row>
    <row r="30" spans="2:2" x14ac:dyDescent="0.35">
      <c r="B30" s="26" t="str">
        <f t="shared" si="0"/>
        <v/>
      </c>
    </row>
    <row r="31" spans="2:2" x14ac:dyDescent="0.35">
      <c r="B31" s="26" t="str">
        <f t="shared" si="0"/>
        <v/>
      </c>
    </row>
    <row r="32" spans="2:2" x14ac:dyDescent="0.35">
      <c r="B32" s="26" t="str">
        <f t="shared" si="0"/>
        <v/>
      </c>
    </row>
    <row r="33" spans="2:2" x14ac:dyDescent="0.35">
      <c r="B33" s="26" t="str">
        <f t="shared" si="0"/>
        <v/>
      </c>
    </row>
    <row r="34" spans="2:2" x14ac:dyDescent="0.35">
      <c r="B34" s="26" t="str">
        <f t="shared" si="0"/>
        <v/>
      </c>
    </row>
    <row r="35" spans="2:2" x14ac:dyDescent="0.35">
      <c r="B35" s="26" t="str">
        <f t="shared" si="0"/>
        <v/>
      </c>
    </row>
    <row r="36" spans="2:2" x14ac:dyDescent="0.35">
      <c r="B36" s="26" t="str">
        <f t="shared" si="0"/>
        <v/>
      </c>
    </row>
    <row r="37" spans="2:2" x14ac:dyDescent="0.35">
      <c r="B37" s="26" t="str">
        <f t="shared" si="0"/>
        <v/>
      </c>
    </row>
    <row r="38" spans="2:2" x14ac:dyDescent="0.35">
      <c r="B38" s="26" t="str">
        <f t="shared" si="0"/>
        <v/>
      </c>
    </row>
    <row r="39" spans="2:2" x14ac:dyDescent="0.35">
      <c r="B39" s="26" t="str">
        <f t="shared" si="0"/>
        <v/>
      </c>
    </row>
    <row r="40" spans="2:2" x14ac:dyDescent="0.35">
      <c r="B40" s="26" t="str">
        <f t="shared" si="0"/>
        <v/>
      </c>
    </row>
    <row r="41" spans="2:2" x14ac:dyDescent="0.35">
      <c r="B41" s="26" t="str">
        <f t="shared" si="0"/>
        <v/>
      </c>
    </row>
    <row r="42" spans="2:2" x14ac:dyDescent="0.35">
      <c r="B42" s="26" t="str">
        <f t="shared" si="0"/>
        <v/>
      </c>
    </row>
    <row r="43" spans="2:2" x14ac:dyDescent="0.35">
      <c r="B43" s="26" t="str">
        <f t="shared" si="0"/>
        <v/>
      </c>
    </row>
    <row r="44" spans="2:2" x14ac:dyDescent="0.35">
      <c r="B44" s="26" t="str">
        <f t="shared" si="0"/>
        <v/>
      </c>
    </row>
    <row r="45" spans="2:2" x14ac:dyDescent="0.35">
      <c r="B45" s="26" t="str">
        <f t="shared" si="0"/>
        <v/>
      </c>
    </row>
    <row r="46" spans="2:2" x14ac:dyDescent="0.35">
      <c r="B46" s="26" t="str">
        <f t="shared" si="0"/>
        <v/>
      </c>
    </row>
    <row r="47" spans="2:2" x14ac:dyDescent="0.35">
      <c r="B47" s="26" t="str">
        <f t="shared" si="0"/>
        <v/>
      </c>
    </row>
    <row r="48" spans="2:2" x14ac:dyDescent="0.35">
      <c r="B48" s="26" t="str">
        <f t="shared" si="0"/>
        <v/>
      </c>
    </row>
    <row r="49" spans="2:2" x14ac:dyDescent="0.35">
      <c r="B49" s="26" t="str">
        <f t="shared" si="0"/>
        <v/>
      </c>
    </row>
    <row r="50" spans="2:2" x14ac:dyDescent="0.35">
      <c r="B50" s="26" t="str">
        <f t="shared" si="0"/>
        <v/>
      </c>
    </row>
  </sheetData>
  <dataValidations count="1">
    <dataValidation type="list" allowBlank="1" showInputMessage="1" showErrorMessage="1" sqref="F2:F100" xr:uid="{985EC30A-73E3-422A-8668-DAE21D046A08}">
      <formula1>"Good, Minor wear, Moderate wear, Damage noted, Needs repair"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14C1-987B-4A23-A231-EC650A3F1D3A}">
  <dimension ref="A1:D9"/>
  <sheetViews>
    <sheetView workbookViewId="0"/>
  </sheetViews>
  <sheetFormatPr defaultRowHeight="14.5" x14ac:dyDescent="0.35"/>
  <cols>
    <col min="1" max="1" width="5.453125" customWidth="1"/>
    <col min="2" max="2" width="40" customWidth="1"/>
    <col min="3" max="3" width="32.7265625" customWidth="1"/>
    <col min="4" max="4" width="72.7265625" customWidth="1"/>
  </cols>
  <sheetData>
    <row r="1" spans="1:4" x14ac:dyDescent="0.35">
      <c r="A1" s="27" t="s">
        <v>303</v>
      </c>
      <c r="B1" s="27" t="s">
        <v>304</v>
      </c>
      <c r="C1" s="27" t="s">
        <v>305</v>
      </c>
      <c r="D1" s="27" t="s">
        <v>306</v>
      </c>
    </row>
    <row r="2" spans="1:4" ht="43.5" x14ac:dyDescent="0.35">
      <c r="A2" s="19">
        <v>1</v>
      </c>
      <c r="B2" s="19" t="s">
        <v>334</v>
      </c>
      <c r="C2" s="19" t="s">
        <v>335</v>
      </c>
      <c r="D2" s="28" t="s">
        <v>336</v>
      </c>
    </row>
    <row r="3" spans="1:4" ht="43.5" x14ac:dyDescent="0.35">
      <c r="A3" s="19">
        <v>2</v>
      </c>
      <c r="B3" s="19" t="s">
        <v>337</v>
      </c>
      <c r="C3" s="19" t="s">
        <v>338</v>
      </c>
      <c r="D3" s="28" t="s">
        <v>339</v>
      </c>
    </row>
    <row r="4" spans="1:4" ht="29" x14ac:dyDescent="0.35">
      <c r="A4" s="19">
        <v>3</v>
      </c>
      <c r="B4" s="19" t="s">
        <v>340</v>
      </c>
      <c r="C4" s="19" t="s">
        <v>341</v>
      </c>
      <c r="D4" s="28" t="s">
        <v>342</v>
      </c>
    </row>
    <row r="5" spans="1:4" ht="43.5" x14ac:dyDescent="0.35">
      <c r="A5" s="19">
        <v>4</v>
      </c>
      <c r="B5" s="19" t="s">
        <v>343</v>
      </c>
      <c r="C5" s="19" t="s">
        <v>344</v>
      </c>
      <c r="D5" s="28" t="s">
        <v>345</v>
      </c>
    </row>
    <row r="6" spans="1:4" ht="29" x14ac:dyDescent="0.35">
      <c r="A6" s="19">
        <v>5</v>
      </c>
      <c r="B6" s="19" t="s">
        <v>346</v>
      </c>
      <c r="C6" s="19" t="s">
        <v>347</v>
      </c>
      <c r="D6" s="28" t="s">
        <v>348</v>
      </c>
    </row>
    <row r="7" spans="1:4" ht="29" x14ac:dyDescent="0.35">
      <c r="A7" s="19">
        <v>6</v>
      </c>
      <c r="B7" s="19" t="s">
        <v>349</v>
      </c>
      <c r="C7" s="19" t="s">
        <v>338</v>
      </c>
      <c r="D7" s="28" t="s">
        <v>350</v>
      </c>
    </row>
    <row r="8" spans="1:4" ht="29" x14ac:dyDescent="0.35">
      <c r="A8" s="61">
        <v>7</v>
      </c>
      <c r="B8" s="61" t="s">
        <v>351</v>
      </c>
      <c r="C8" s="61" t="s">
        <v>352</v>
      </c>
      <c r="D8" s="63" t="s">
        <v>353</v>
      </c>
    </row>
    <row r="9" spans="1:4" ht="72.5" x14ac:dyDescent="0.35">
      <c r="A9" s="62">
        <v>8</v>
      </c>
      <c r="B9" s="62" t="s">
        <v>370</v>
      </c>
      <c r="C9" s="62" t="s">
        <v>371</v>
      </c>
      <c r="D9" s="64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Requirements</vt:lpstr>
      <vt:lpstr>Traceability Matrix</vt:lpstr>
      <vt:lpstr>Test Log</vt:lpstr>
      <vt:lpstr>Unknowns Register</vt:lpstr>
      <vt:lpstr>Health Log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Evans</cp:lastModifiedBy>
  <dcterms:created xsi:type="dcterms:W3CDTF">2026-03-20T04:30:18Z</dcterms:created>
  <dcterms:modified xsi:type="dcterms:W3CDTF">2026-03-20T06:26:18Z</dcterms:modified>
</cp:coreProperties>
</file>